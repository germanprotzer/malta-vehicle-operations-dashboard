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govmt-my.sharepoint.com/personal/lara_friggieri-cordina_gov_mt/Documents/Dissemination and Communication Unit/Old Dissemination Products_Shared/SHARON releases/News Releases 2026/Transport/Motor Vehicles Q4 2025 (Malcolm)/"/>
    </mc:Choice>
  </mc:AlternateContent>
  <xr:revisionPtr revIDLastSave="20" documentId="8_{F7850B20-7008-4AA6-9ED9-B0DA1562A5CD}" xr6:coauthVersionLast="47" xr6:coauthVersionMax="47" xr10:uidLastSave="{79F89CE1-3A45-4352-A4DD-FF5EF070DD72}"/>
  <bookViews>
    <workbookView xWindow="-120" yWindow="-120" windowWidth="20730" windowHeight="11040" xr2:uid="{E570488E-8261-4D7F-8594-B58F2D5CAD66}"/>
  </bookViews>
  <sheets>
    <sheet name="Table 1" sheetId="1" r:id="rId1"/>
    <sheet name="Table 2" sheetId="2" r:id="rId2"/>
    <sheet name="Table 3" sheetId="3" r:id="rId3"/>
    <sheet name="Table 4" sheetId="4" r:id="rId4"/>
    <sheet name="Table 5" sheetId="6" r:id="rId5"/>
    <sheet name="Table 6" sheetId="7" r:id="rId6"/>
    <sheet name="Table 7" sheetId="8" r:id="rId7"/>
  </sheets>
  <externalReferences>
    <externalReference r:id="rId8"/>
  </externalReferences>
  <definedNames>
    <definedName name="_xlnm.Criteria" localSheetId="6">[1]LABOUR!#REF!</definedName>
    <definedName name="_xlnm.Criteria">[1]LABOUR!#REF!</definedName>
    <definedName name="_xlnm.Database" localSheetId="6">[1]LABOUR!#REF!</definedName>
    <definedName name="_xlnm.Database">[1]LABOUR!#REF!</definedName>
    <definedName name="_xlnm.Extract" localSheetId="6">#REF!</definedName>
    <definedName name="_xlnm.Extract">#REF!</definedName>
    <definedName name="pages" localSheetId="6">[1]LABOUR!#REF!</definedName>
    <definedName name="pages">[1]LABOUR!#REF!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8" i="1" l="1"/>
</calcChain>
</file>

<file path=xl/sharedStrings.xml><?xml version="1.0" encoding="utf-8"?>
<sst xmlns="http://schemas.openxmlformats.org/spreadsheetml/2006/main" count="404" uniqueCount="85">
  <si>
    <t>Table 1.  Stock of licensed motor vehicles by vehicle group and period</t>
  </si>
  <si>
    <t>Period</t>
  </si>
  <si>
    <t xml:space="preserve"> Agricultural</t>
  </si>
  <si>
    <t xml:space="preserve"> Coach and private bus</t>
  </si>
  <si>
    <t>Minibus</t>
  </si>
  <si>
    <t xml:space="preserve"> Route bus</t>
  </si>
  <si>
    <t>Motorcycle/E-Bicycle/
PA-Bicycle</t>
  </si>
  <si>
    <t>E-kick scooter</t>
  </si>
  <si>
    <t>Quad and ATV</t>
  </si>
  <si>
    <t>Passenger car</t>
  </si>
  <si>
    <t>Commercial vehicle</t>
  </si>
  <si>
    <t xml:space="preserve"> Total</t>
  </si>
  <si>
    <t xml:space="preserve"> Garage hire</t>
  </si>
  <si>
    <t xml:space="preserve"> Other</t>
  </si>
  <si>
    <t xml:space="preserve"> Self-drive</t>
  </si>
  <si>
    <t xml:space="preserve"> Leased</t>
  </si>
  <si>
    <t xml:space="preserve"> Taxi</t>
  </si>
  <si>
    <t xml:space="preserve"> Goods-carrying vehicle</t>
  </si>
  <si>
    <t xml:space="preserve"> Special purpose vehicle</t>
  </si>
  <si>
    <t xml:space="preserve"> Road tractor</t>
  </si>
  <si>
    <t>Leased</t>
  </si>
  <si>
    <t>Other</t>
  </si>
  <si>
    <t>Q1</t>
  </si>
  <si>
    <t>Q2</t>
  </si>
  <si>
    <t>Q3</t>
  </si>
  <si>
    <t>-</t>
  </si>
  <si>
    <t>Q4</t>
  </si>
  <si>
    <t xml:space="preserve">Table 2.  Newly licensed motor vehicles by category and period </t>
  </si>
  <si>
    <t xml:space="preserve"> Agricultural
</t>
  </si>
  <si>
    <t xml:space="preserve"> Coach and private bus
</t>
  </si>
  <si>
    <t xml:space="preserve"> Minibus
</t>
  </si>
  <si>
    <t xml:space="preserve"> Route bus
</t>
  </si>
  <si>
    <t xml:space="preserve"> Motorcycle/E-Bicycle/
 PA-Bicycle
</t>
  </si>
  <si>
    <t xml:space="preserve"> E-kick scooter
</t>
  </si>
  <si>
    <t xml:space="preserve"> Quad and ATV
</t>
  </si>
  <si>
    <t xml:space="preserve"> Passenger car
</t>
  </si>
  <si>
    <t xml:space="preserve"> Goods-carrying vehicle
</t>
  </si>
  <si>
    <t xml:space="preserve"> Special purpose vehicle
</t>
  </si>
  <si>
    <t xml:space="preserve"> Road tractor
</t>
  </si>
  <si>
    <t xml:space="preserve"> Total
</t>
  </si>
  <si>
    <t>Note: Figures include 'new' and 'used' licensed motor vehicles.</t>
  </si>
  <si>
    <t>Table 3.  Newly licensed 'new' motor vehicles by category and period</t>
  </si>
  <si>
    <t>Table 4.  Newly licensed 'used' motor vehicles by category and period</t>
  </si>
  <si>
    <t>Restriction</t>
  </si>
  <si>
    <t xml:space="preserve"> Minibus</t>
  </si>
  <si>
    <t>Route bus</t>
  </si>
  <si>
    <t xml:space="preserve"> Motorcycle
</t>
  </si>
  <si>
    <t xml:space="preserve"> Quad and ATV</t>
  </si>
  <si>
    <t xml:space="preserve"> Passenger car</t>
  </si>
  <si>
    <t>Resale</t>
  </si>
  <si>
    <t xml:space="preserve">  Exported</t>
  </si>
  <si>
    <t>Garaged</t>
  </si>
  <si>
    <t xml:space="preserve">  Scrapped</t>
  </si>
  <si>
    <r>
      <t xml:space="preserve">  Other</t>
    </r>
    <r>
      <rPr>
        <vertAlign val="superscript"/>
        <sz val="8"/>
        <rFont val="Arial"/>
        <family val="2"/>
      </rPr>
      <t>1</t>
    </r>
  </si>
  <si>
    <t>Total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</si>
  <si>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Other minor restrictions such as seized by police, no engine, pending documents, etc.</t>
    </r>
  </si>
  <si>
    <t>Note: There may be motor vehicles with restriction starting and ending during the same quarter.</t>
  </si>
  <si>
    <t xml:space="preserve"> Motorcycle</t>
  </si>
  <si>
    <r>
      <t xml:space="preserve">  Exported</t>
    </r>
    <r>
      <rPr>
        <vertAlign val="superscript"/>
        <sz val="8"/>
        <rFont val="Arial"/>
        <family val="2"/>
      </rPr>
      <t>1</t>
    </r>
  </si>
  <si>
    <t>Scrapped</t>
  </si>
  <si>
    <r>
      <t xml:space="preserve">  Other</t>
    </r>
    <r>
      <rPr>
        <vertAlign val="superscript"/>
        <sz val="8"/>
        <rFont val="Arial"/>
        <family val="2"/>
      </rPr>
      <t>2</t>
    </r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</si>
  <si>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>Motor vehicles that have been exported and reimported.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</si>
  <si>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Other minor restrictions such as seized by police, no engine, etc.</t>
    </r>
  </si>
  <si>
    <t xml:space="preserve"> </t>
  </si>
  <si>
    <t>Vehicle category</t>
  </si>
  <si>
    <t>Petrol</t>
  </si>
  <si>
    <t>Diesel</t>
  </si>
  <si>
    <t>Electric</t>
  </si>
  <si>
    <t xml:space="preserve"> Mild Hybrid
(Petrol-Electric)</t>
  </si>
  <si>
    <t>Mild Hybrid (Diesel-Electric)</t>
  </si>
  <si>
    <t>LPG</t>
  </si>
  <si>
    <t>Combined 
(Petrol-LPG)</t>
  </si>
  <si>
    <t>Combined (Diesel-LPG)</t>
  </si>
  <si>
    <t>Plug-in Hybrid (Petrol-Electric)</t>
  </si>
  <si>
    <t>Plug-in Hybrid (Diesel-Electric)</t>
  </si>
  <si>
    <t>Agricultural</t>
  </si>
  <si>
    <t>Coach and private bus</t>
  </si>
  <si>
    <t>Motorcycle/PA-Bicycle</t>
  </si>
  <si>
    <t>Goods-carrying vehicle</t>
  </si>
  <si>
    <t>Special purpose vehicle</t>
  </si>
  <si>
    <t>Road tractor</t>
  </si>
  <si>
    <t>% change over Q3/2025</t>
  </si>
  <si>
    <t>Table 5. Motor vehicles with restriction starting during Q4/2025 by category and restriction type</t>
  </si>
  <si>
    <t>Table 6.  Motor vehicles with restriction ending during Q4/2025 by category and restriction type</t>
  </si>
  <si>
    <t>Table 7.  Stock of licensed motor vehicles by motor energy type and vehicle category as at end Q4/2025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</si>
</sst>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\ \ 0"/>
    <numFmt numFmtId="165" formatCode="#,##0\ \ "/>
    <numFmt numFmtId="166" formatCode="#,##0\ \ \ \ \ "/>
    <numFmt numFmtId="167" formatCode="\ \ @"/>
    <numFmt numFmtId="168" formatCode="0.0"/>
    <numFmt numFmtId="169" formatCode="0.0%"/>
    <numFmt numFmtId="170" formatCode="###0"/>
    <numFmt numFmtId="171" formatCode="&quot;€&quot;#,##0"/>
    <numFmt numFmtId="172" formatCode="&quot;€&quot;#,##0.0"/>
    <numFmt numFmtId="173" formatCode="0.000%"/>
    <numFmt numFmtId="174" formatCode="#,##0.0"/>
    <numFmt numFmtId="175" formatCode="0.00000%"/>
    <numFmt numFmtId="176" formatCode="0.0000%"/>
  </numFmts>
  <fonts count="14" x14ac:knownFonts="1">
    <font>
      <sz val="10"/>
      <name val="Arial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rgb="FFFF000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b/>
      <sz val="9"/>
      <color rgb="FFFF0000"/>
      <name val="Arial"/>
      <family val="2"/>
    </font>
    <font>
      <vertAlign val="superscript"/>
      <sz val="8"/>
      <name val="Arial"/>
      <family val="2"/>
    </font>
    <font>
      <sz val="8"/>
      <color indexed="8"/>
      <name val="Arial"/>
      <family val="2"/>
    </font>
    <font>
      <sz val="8"/>
      <color rgb="FFFF0000"/>
      <name val="Arial"/>
      <family val="2"/>
    </font>
    <font>
      <b/>
      <sz val="10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</cellStyleXfs>
  <cellXfs count="175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164" fontId="3" fillId="0" borderId="8" xfId="0" applyNumberFormat="1" applyFont="1" applyBorder="1" applyAlignment="1">
      <alignment horizontal="left" vertical="center"/>
    </xf>
    <xf numFmtId="165" fontId="3" fillId="0" borderId="0" xfId="0" applyNumberFormat="1" applyFont="1" applyAlignment="1">
      <alignment horizontal="right" vertical="center"/>
    </xf>
    <xf numFmtId="165" fontId="3" fillId="0" borderId="9" xfId="0" applyNumberFormat="1" applyFont="1" applyBorder="1" applyAlignment="1">
      <alignment horizontal="right" vertical="center" indent="1"/>
    </xf>
    <xf numFmtId="165" fontId="3" fillId="0" borderId="0" xfId="0" applyNumberFormat="1" applyFont="1" applyAlignment="1">
      <alignment horizontal="right" vertical="center" indent="1"/>
    </xf>
    <xf numFmtId="165" fontId="3" fillId="0" borderId="8" xfId="0" applyNumberFormat="1" applyFont="1" applyBorder="1" applyAlignment="1">
      <alignment horizontal="left" vertical="center" indent="1"/>
    </xf>
    <xf numFmtId="165" fontId="3" fillId="0" borderId="14" xfId="0" applyNumberFormat="1" applyFont="1" applyBorder="1" applyAlignment="1">
      <alignment horizontal="right" vertical="center" indent="1"/>
    </xf>
    <xf numFmtId="165" fontId="3" fillId="0" borderId="0" xfId="0" applyNumberFormat="1" applyFont="1" applyAlignment="1">
      <alignment horizontal="left" vertical="center" indent="1"/>
    </xf>
    <xf numFmtId="165" fontId="3" fillId="0" borderId="14" xfId="0" applyNumberFormat="1" applyFont="1" applyBorder="1" applyAlignment="1">
      <alignment horizontal="right" vertical="center"/>
    </xf>
    <xf numFmtId="166" fontId="3" fillId="0" borderId="0" xfId="0" applyNumberFormat="1" applyFont="1" applyAlignment="1">
      <alignment horizontal="right" vertical="center"/>
    </xf>
    <xf numFmtId="165" fontId="3" fillId="0" borderId="8" xfId="0" applyNumberFormat="1" applyFont="1" applyBorder="1" applyAlignment="1">
      <alignment horizontal="right" vertical="center"/>
    </xf>
    <xf numFmtId="165" fontId="3" fillId="0" borderId="0" xfId="0" applyNumberFormat="1" applyFont="1" applyAlignment="1">
      <alignment vertical="center"/>
    </xf>
    <xf numFmtId="167" fontId="4" fillId="0" borderId="8" xfId="0" applyNumberFormat="1" applyFont="1" applyBorder="1" applyAlignment="1">
      <alignment horizontal="left" vertical="center" indent="2"/>
    </xf>
    <xf numFmtId="165" fontId="4" fillId="0" borderId="14" xfId="0" applyNumberFormat="1" applyFont="1" applyBorder="1" applyAlignment="1">
      <alignment horizontal="right" vertical="center"/>
    </xf>
    <xf numFmtId="165" fontId="4" fillId="0" borderId="9" xfId="0" applyNumberFormat="1" applyFont="1" applyBorder="1" applyAlignment="1">
      <alignment horizontal="right" vertical="center" indent="1"/>
    </xf>
    <xf numFmtId="165" fontId="4" fillId="0" borderId="0" xfId="0" applyNumberFormat="1" applyFont="1" applyAlignment="1">
      <alignment horizontal="right" vertical="center" indent="1"/>
    </xf>
    <xf numFmtId="165" fontId="4" fillId="0" borderId="0" xfId="0" applyNumberFormat="1" applyFont="1" applyAlignment="1">
      <alignment horizontal="left" vertical="center" indent="4"/>
    </xf>
    <xf numFmtId="165" fontId="4" fillId="0" borderId="8" xfId="0" applyNumberFormat="1" applyFont="1" applyBorder="1" applyAlignment="1">
      <alignment horizontal="left" vertical="center" indent="1"/>
    </xf>
    <xf numFmtId="165" fontId="4" fillId="0" borderId="14" xfId="0" applyNumberFormat="1" applyFont="1" applyBorder="1" applyAlignment="1">
      <alignment horizontal="right" vertical="center" indent="1"/>
    </xf>
    <xf numFmtId="165" fontId="4" fillId="0" borderId="0" xfId="0" applyNumberFormat="1" applyFont="1" applyAlignment="1">
      <alignment horizontal="right" vertical="center"/>
    </xf>
    <xf numFmtId="165" fontId="4" fillId="0" borderId="14" xfId="0" applyNumberFormat="1" applyFont="1" applyBorder="1" applyAlignment="1">
      <alignment vertical="center"/>
    </xf>
    <xf numFmtId="165" fontId="4" fillId="0" borderId="0" xfId="0" applyNumberFormat="1" applyFont="1" applyAlignment="1">
      <alignment vertical="center"/>
    </xf>
    <xf numFmtId="166" fontId="4" fillId="0" borderId="0" xfId="0" applyNumberFormat="1" applyFont="1" applyAlignment="1">
      <alignment vertical="center"/>
    </xf>
    <xf numFmtId="165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horizontal="right" vertical="center"/>
    </xf>
    <xf numFmtId="0" fontId="2" fillId="0" borderId="8" xfId="0" applyFont="1" applyBorder="1"/>
    <xf numFmtId="0" fontId="2" fillId="0" borderId="9" xfId="0" applyFont="1" applyBorder="1"/>
    <xf numFmtId="0" fontId="2" fillId="0" borderId="14" xfId="0" applyFont="1" applyBorder="1"/>
    <xf numFmtId="0" fontId="1" fillId="0" borderId="8" xfId="0" applyFont="1" applyBorder="1"/>
    <xf numFmtId="0" fontId="4" fillId="0" borderId="0" xfId="0" applyFont="1" applyAlignment="1">
      <alignment horizontal="left"/>
    </xf>
    <xf numFmtId="0" fontId="4" fillId="0" borderId="0" xfId="0" applyFont="1"/>
    <xf numFmtId="0" fontId="2" fillId="0" borderId="0" xfId="0" applyFont="1" applyAlignment="1">
      <alignment horizontal="left" indent="4"/>
    </xf>
    <xf numFmtId="0" fontId="5" fillId="0" borderId="0" xfId="0" applyFont="1" applyAlignment="1">
      <alignment horizontal="left" vertical="center"/>
    </xf>
    <xf numFmtId="165" fontId="4" fillId="0" borderId="0" xfId="0" applyNumberFormat="1" applyFont="1" applyAlignment="1">
      <alignment horizontal="left" vertical="center"/>
    </xf>
    <xf numFmtId="165" fontId="5" fillId="0" borderId="0" xfId="0" applyNumberFormat="1" applyFont="1" applyAlignment="1">
      <alignment horizontal="left" vertical="center"/>
    </xf>
    <xf numFmtId="167" fontId="4" fillId="0" borderId="0" xfId="0" applyNumberFormat="1" applyFont="1" applyAlignment="1">
      <alignment horizontal="left" vertical="center" indent="2"/>
    </xf>
    <xf numFmtId="165" fontId="4" fillId="0" borderId="14" xfId="0" applyNumberFormat="1" applyFont="1" applyBorder="1" applyAlignment="1">
      <alignment horizontal="left" vertical="center" indent="4"/>
    </xf>
    <xf numFmtId="165" fontId="4" fillId="0" borderId="0" xfId="0" applyNumberFormat="1" applyFont="1" applyAlignment="1">
      <alignment horizontal="left" vertical="center" indent="1"/>
    </xf>
    <xf numFmtId="165" fontId="3" fillId="0" borderId="14" xfId="0" applyNumberFormat="1" applyFont="1" applyBorder="1" applyAlignment="1">
      <alignment vertical="center"/>
    </xf>
    <xf numFmtId="3" fontId="3" fillId="0" borderId="0" xfId="2" applyNumberFormat="1" applyFont="1" applyFill="1" applyAlignment="1">
      <alignment horizontal="right" vertical="center" indent="2"/>
    </xf>
    <xf numFmtId="168" fontId="7" fillId="0" borderId="0" xfId="1" applyNumberFormat="1" applyFont="1" applyAlignment="1">
      <alignment horizontal="right" vertical="center"/>
    </xf>
    <xf numFmtId="0" fontId="4" fillId="0" borderId="0" xfId="3" applyFont="1"/>
    <xf numFmtId="164" fontId="3" fillId="0" borderId="0" xfId="0" applyNumberFormat="1" applyFont="1" applyAlignment="1">
      <alignment horizontal="left" vertical="center"/>
    </xf>
    <xf numFmtId="3" fontId="3" fillId="0" borderId="14" xfId="0" applyNumberFormat="1" applyFont="1" applyBorder="1" applyAlignment="1">
      <alignment horizontal="right" vertical="center" indent="1"/>
    </xf>
    <xf numFmtId="3" fontId="3" fillId="0" borderId="0" xfId="0" applyNumberFormat="1" applyFont="1" applyAlignment="1">
      <alignment horizontal="right" vertical="center" indent="1"/>
    </xf>
    <xf numFmtId="3" fontId="3" fillId="0" borderId="0" xfId="0" applyNumberFormat="1" applyFont="1" applyAlignment="1">
      <alignment horizontal="right" vertical="top" indent="1"/>
    </xf>
    <xf numFmtId="3" fontId="4" fillId="0" borderId="14" xfId="0" applyNumberFormat="1" applyFont="1" applyBorder="1" applyAlignment="1">
      <alignment horizontal="right" vertical="center" indent="1"/>
    </xf>
    <xf numFmtId="3" fontId="4" fillId="0" borderId="0" xfId="0" applyNumberFormat="1" applyFont="1" applyAlignment="1">
      <alignment horizontal="right" vertical="center" indent="1"/>
    </xf>
    <xf numFmtId="3" fontId="3" fillId="0" borderId="0" xfId="0" applyNumberFormat="1" applyFont="1" applyAlignment="1">
      <alignment horizontal="right" vertical="center" wrapText="1" indent="1"/>
    </xf>
    <xf numFmtId="0" fontId="4" fillId="0" borderId="0" xfId="0" applyFont="1" applyAlignment="1">
      <alignment horizontal="right" vertical="center" indent="1"/>
    </xf>
    <xf numFmtId="3" fontId="4" fillId="0" borderId="0" xfId="0" applyNumberFormat="1" applyFont="1" applyAlignment="1">
      <alignment horizontal="right" vertical="center" wrapText="1" indent="1"/>
    </xf>
    <xf numFmtId="0" fontId="3" fillId="0" borderId="0" xfId="0" applyFont="1" applyAlignment="1">
      <alignment horizontal="right" vertical="center" indent="1"/>
    </xf>
    <xf numFmtId="164" fontId="3" fillId="0" borderId="13" xfId="0" applyNumberFormat="1" applyFont="1" applyBorder="1" applyAlignment="1">
      <alignment horizontal="left" vertical="center"/>
    </xf>
    <xf numFmtId="3" fontId="4" fillId="0" borderId="12" xfId="0" applyNumberFormat="1" applyFont="1" applyBorder="1" applyAlignment="1">
      <alignment horizontal="right" vertical="center"/>
    </xf>
    <xf numFmtId="3" fontId="4" fillId="0" borderId="13" xfId="0" applyNumberFormat="1" applyFont="1" applyBorder="1" applyAlignment="1">
      <alignment horizontal="left" vertical="center"/>
    </xf>
    <xf numFmtId="3" fontId="4" fillId="0" borderId="13" xfId="0" applyNumberFormat="1" applyFont="1" applyBorder="1" applyAlignment="1">
      <alignment horizontal="right" vertical="center"/>
    </xf>
    <xf numFmtId="3" fontId="3" fillId="0" borderId="13" xfId="0" applyNumberFormat="1" applyFont="1" applyBorder="1" applyAlignment="1">
      <alignment horizontal="right" vertical="center" textRotation="90" wrapText="1"/>
    </xf>
    <xf numFmtId="3" fontId="3" fillId="0" borderId="13" xfId="0" applyNumberFormat="1" applyFont="1" applyBorder="1" applyAlignment="1">
      <alignment horizontal="right" vertical="top" indent="1"/>
    </xf>
    <xf numFmtId="169" fontId="2" fillId="0" borderId="0" xfId="1" applyNumberFormat="1" applyFont="1" applyBorder="1"/>
    <xf numFmtId="3" fontId="4" fillId="0" borderId="0" xfId="0" applyNumberFormat="1" applyFont="1" applyAlignment="1">
      <alignment vertical="center"/>
    </xf>
    <xf numFmtId="164" fontId="4" fillId="0" borderId="0" xfId="0" applyNumberFormat="1" applyFont="1" applyAlignment="1">
      <alignment horizontal="left" vertical="center"/>
    </xf>
    <xf numFmtId="169" fontId="2" fillId="0" borderId="0" xfId="1" applyNumberFormat="1" applyFont="1"/>
    <xf numFmtId="164" fontId="4" fillId="0" borderId="0" xfId="0" applyNumberFormat="1" applyFont="1" applyAlignment="1">
      <alignment horizontal="left" vertical="center" indent="1"/>
    </xf>
    <xf numFmtId="0" fontId="4" fillId="0" borderId="0" xfId="3" applyFont="1" applyAlignment="1">
      <alignment horizontal="left" indent="1"/>
    </xf>
    <xf numFmtId="3" fontId="2" fillId="0" borderId="0" xfId="0" applyNumberFormat="1" applyFont="1"/>
    <xf numFmtId="164" fontId="4" fillId="0" borderId="8" xfId="0" applyNumberFormat="1" applyFont="1" applyBorder="1" applyAlignment="1">
      <alignment horizontal="left" vertical="center"/>
    </xf>
    <xf numFmtId="3" fontId="4" fillId="0" borderId="0" xfId="0" applyNumberFormat="1" applyFont="1" applyAlignment="1">
      <alignment horizontal="right" vertical="center"/>
    </xf>
    <xf numFmtId="3" fontId="4" fillId="0" borderId="0" xfId="0" applyNumberFormat="1" applyFont="1" applyAlignment="1">
      <alignment horizontal="left" vertical="center"/>
    </xf>
    <xf numFmtId="3" fontId="3" fillId="0" borderId="0" xfId="0" applyNumberFormat="1" applyFont="1" applyAlignment="1">
      <alignment horizontal="right" vertical="center" textRotation="90" wrapText="1"/>
    </xf>
    <xf numFmtId="3" fontId="3" fillId="0" borderId="0" xfId="0" applyNumberFormat="1" applyFont="1" applyAlignment="1">
      <alignment horizontal="right" vertical="center"/>
    </xf>
    <xf numFmtId="3" fontId="3" fillId="0" borderId="0" xfId="0" applyNumberFormat="1" applyFont="1" applyAlignment="1">
      <alignment horizontal="right" vertical="center" wrapText="1"/>
    </xf>
    <xf numFmtId="0" fontId="2" fillId="0" borderId="13" xfId="0" applyFont="1" applyBorder="1"/>
    <xf numFmtId="3" fontId="4" fillId="0" borderId="0" xfId="0" applyNumberFormat="1" applyFont="1"/>
    <xf numFmtId="0" fontId="2" fillId="0" borderId="0" xfId="0" applyFont="1" applyAlignment="1">
      <alignment wrapText="1"/>
    </xf>
    <xf numFmtId="167" fontId="4" fillId="0" borderId="13" xfId="0" applyNumberFormat="1" applyFont="1" applyBorder="1" applyAlignment="1">
      <alignment horizontal="left" vertical="center" indent="2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vertical="top" wrapText="1"/>
    </xf>
    <xf numFmtId="170" fontId="7" fillId="0" borderId="0" xfId="0" applyNumberFormat="1" applyFont="1" applyAlignment="1">
      <alignment horizontal="right" vertical="center"/>
    </xf>
    <xf numFmtId="167" fontId="4" fillId="0" borderId="1" xfId="0" applyNumberFormat="1" applyFont="1" applyBorder="1" applyAlignment="1">
      <alignment horizontal="left" vertical="center" indent="1"/>
    </xf>
    <xf numFmtId="3" fontId="4" fillId="0" borderId="3" xfId="0" applyNumberFormat="1" applyFont="1" applyBorder="1" applyAlignment="1">
      <alignment horizontal="right" vertical="center" indent="1"/>
    </xf>
    <xf numFmtId="3" fontId="4" fillId="0" borderId="7" xfId="0" applyNumberFormat="1" applyFont="1" applyBorder="1" applyAlignment="1">
      <alignment horizontal="right" vertical="center" indent="1"/>
    </xf>
    <xf numFmtId="169" fontId="7" fillId="0" borderId="0" xfId="1" applyNumberFormat="1" applyFont="1" applyBorder="1" applyAlignment="1">
      <alignment horizontal="left" vertical="top" wrapText="1"/>
    </xf>
    <xf numFmtId="169" fontId="7" fillId="0" borderId="0" xfId="1" applyNumberFormat="1" applyFont="1" applyAlignment="1">
      <alignment horizontal="right" vertical="center"/>
    </xf>
    <xf numFmtId="171" fontId="4" fillId="0" borderId="8" xfId="0" applyNumberFormat="1" applyFont="1" applyBorder="1" applyAlignment="1">
      <alignment horizontal="left" vertical="center" indent="1"/>
    </xf>
    <xf numFmtId="167" fontId="4" fillId="0" borderId="8" xfId="0" applyNumberFormat="1" applyFont="1" applyBorder="1" applyAlignment="1">
      <alignment horizontal="left" vertical="center" indent="1"/>
    </xf>
    <xf numFmtId="172" fontId="4" fillId="0" borderId="8" xfId="0" applyNumberFormat="1" applyFont="1" applyBorder="1" applyAlignment="1">
      <alignment horizontal="left" vertical="center" indent="1"/>
    </xf>
    <xf numFmtId="167" fontId="3" fillId="0" borderId="10" xfId="0" applyNumberFormat="1" applyFont="1" applyBorder="1" applyAlignment="1">
      <alignment horizontal="left" vertical="center"/>
    </xf>
    <xf numFmtId="3" fontId="3" fillId="0" borderId="12" xfId="0" applyNumberFormat="1" applyFont="1" applyBorder="1" applyAlignment="1">
      <alignment horizontal="right" vertical="center" indent="1"/>
    </xf>
    <xf numFmtId="3" fontId="3" fillId="0" borderId="13" xfId="0" applyNumberFormat="1" applyFont="1" applyBorder="1" applyAlignment="1">
      <alignment horizontal="right" vertical="center" indent="1"/>
    </xf>
    <xf numFmtId="0" fontId="7" fillId="0" borderId="0" xfId="0" applyFont="1" applyAlignment="1">
      <alignment horizontal="left" vertical="top" wrapText="1"/>
    </xf>
    <xf numFmtId="170" fontId="0" fillId="0" borderId="0" xfId="0" applyNumberFormat="1"/>
    <xf numFmtId="0" fontId="10" fillId="0" borderId="0" xfId="0" applyFont="1" applyAlignment="1">
      <alignment horizontal="left"/>
    </xf>
    <xf numFmtId="0" fontId="10" fillId="0" borderId="0" xfId="0" applyFont="1" applyAlignment="1">
      <alignment horizontal="left" wrapText="1"/>
    </xf>
    <xf numFmtId="0" fontId="11" fillId="0" borderId="0" xfId="3" applyFont="1"/>
    <xf numFmtId="3" fontId="3" fillId="0" borderId="7" xfId="0" applyNumberFormat="1" applyFont="1" applyBorder="1" applyAlignment="1">
      <alignment horizontal="right" vertical="center" indent="1"/>
    </xf>
    <xf numFmtId="168" fontId="0" fillId="0" borderId="0" xfId="1" applyNumberFormat="1" applyFont="1"/>
    <xf numFmtId="167" fontId="3" fillId="0" borderId="13" xfId="0" applyNumberFormat="1" applyFont="1" applyBorder="1" applyAlignment="1">
      <alignment horizontal="left" vertical="center"/>
    </xf>
    <xf numFmtId="167" fontId="3" fillId="0" borderId="0" xfId="0" applyNumberFormat="1" applyFont="1" applyAlignment="1">
      <alignment horizontal="left" vertical="center"/>
    </xf>
    <xf numFmtId="0" fontId="8" fillId="0" borderId="0" xfId="0" applyFont="1"/>
    <xf numFmtId="3" fontId="0" fillId="0" borderId="0" xfId="0" applyNumberFormat="1"/>
    <xf numFmtId="0" fontId="6" fillId="0" borderId="0" xfId="3"/>
    <xf numFmtId="0" fontId="6" fillId="0" borderId="0" xfId="3" applyAlignment="1">
      <alignment horizontal="center"/>
    </xf>
    <xf numFmtId="0" fontId="3" fillId="0" borderId="6" xfId="3" applyFont="1" applyBorder="1" applyAlignment="1">
      <alignment horizontal="left" vertical="center" indent="1"/>
    </xf>
    <xf numFmtId="0" fontId="3" fillId="0" borderId="5" xfId="3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 wrapText="1"/>
    </xf>
    <xf numFmtId="0" fontId="12" fillId="0" borderId="0" xfId="3" applyFont="1"/>
    <xf numFmtId="0" fontId="4" fillId="0" borderId="8" xfId="3" applyFont="1" applyBorder="1" applyAlignment="1">
      <alignment horizontal="left" vertical="center" indent="2"/>
    </xf>
    <xf numFmtId="3" fontId="4" fillId="0" borderId="0" xfId="2" applyNumberFormat="1" applyFont="1" applyAlignment="1">
      <alignment horizontal="right" vertical="center" indent="1"/>
    </xf>
    <xf numFmtId="3" fontId="3" fillId="0" borderId="0" xfId="2" applyNumberFormat="1" applyFont="1" applyAlignment="1">
      <alignment horizontal="right" vertical="center" indent="1"/>
    </xf>
    <xf numFmtId="169" fontId="6" fillId="0" borderId="0" xfId="1" applyNumberFormat="1" applyFont="1"/>
    <xf numFmtId="3" fontId="6" fillId="0" borderId="0" xfId="3" applyNumberFormat="1"/>
    <xf numFmtId="173" fontId="6" fillId="0" borderId="0" xfId="1" applyNumberFormat="1" applyFont="1"/>
    <xf numFmtId="0" fontId="3" fillId="0" borderId="10" xfId="3" applyFont="1" applyBorder="1" applyAlignment="1">
      <alignment horizontal="left" vertical="center" indent="1"/>
    </xf>
    <xf numFmtId="3" fontId="3" fillId="0" borderId="0" xfId="2" applyNumberFormat="1" applyFont="1" applyBorder="1" applyAlignment="1">
      <alignment horizontal="right" vertical="center" indent="1"/>
    </xf>
    <xf numFmtId="174" fontId="3" fillId="0" borderId="4" xfId="2" applyNumberFormat="1" applyFont="1" applyBorder="1" applyAlignment="1">
      <alignment horizontal="right" vertical="center" indent="2"/>
    </xf>
    <xf numFmtId="174" fontId="3" fillId="0" borderId="5" xfId="2" applyNumberFormat="1" applyFont="1" applyBorder="1" applyAlignment="1">
      <alignment horizontal="right" vertical="center" indent="2"/>
    </xf>
    <xf numFmtId="0" fontId="3" fillId="0" borderId="0" xfId="3" applyFont="1" applyAlignment="1">
      <alignment horizontal="left" vertical="center" indent="1"/>
    </xf>
    <xf numFmtId="174" fontId="3" fillId="0" borderId="0" xfId="2" applyNumberFormat="1" applyFont="1" applyBorder="1" applyAlignment="1">
      <alignment horizontal="right" vertical="center" indent="2"/>
    </xf>
    <xf numFmtId="168" fontId="3" fillId="0" borderId="0" xfId="1" applyNumberFormat="1" applyFont="1" applyBorder="1" applyAlignment="1">
      <alignment horizontal="right" vertical="center" indent="2"/>
    </xf>
    <xf numFmtId="174" fontId="3" fillId="0" borderId="0" xfId="3" applyNumberFormat="1" applyFont="1" applyAlignment="1">
      <alignment horizontal="right" vertical="center" indent="2"/>
    </xf>
    <xf numFmtId="173" fontId="6" fillId="0" borderId="0" xfId="1" applyNumberFormat="1" applyFont="1" applyAlignment="1">
      <alignment horizontal="center"/>
    </xf>
    <xf numFmtId="3" fontId="6" fillId="0" borderId="0" xfId="3" applyNumberFormat="1" applyAlignment="1">
      <alignment horizontal="center"/>
    </xf>
    <xf numFmtId="175" fontId="6" fillId="0" borderId="0" xfId="1" applyNumberFormat="1" applyFont="1" applyAlignment="1">
      <alignment horizontal="center"/>
    </xf>
    <xf numFmtId="176" fontId="6" fillId="0" borderId="0" xfId="1" applyNumberFormat="1" applyFont="1" applyAlignment="1">
      <alignment horizontal="center"/>
    </xf>
    <xf numFmtId="0" fontId="3" fillId="0" borderId="5" xfId="3" applyFont="1" applyBorder="1" applyAlignment="1">
      <alignment horizontal="right" vertical="center" indent="1"/>
    </xf>
    <xf numFmtId="0" fontId="13" fillId="0" borderId="0" xfId="3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3" fillId="0" borderId="2" xfId="0" applyFont="1" applyBorder="1" applyAlignment="1">
      <alignment horizontal="center" textRotation="90" wrapText="1"/>
    </xf>
    <xf numFmtId="0" fontId="3" fillId="0" borderId="9" xfId="0" applyFont="1" applyBorder="1" applyAlignment="1">
      <alignment horizontal="center" textRotation="90" wrapText="1"/>
    </xf>
    <xf numFmtId="0" fontId="0" fillId="0" borderId="11" xfId="0" applyBorder="1" applyAlignment="1">
      <alignment horizontal="center" textRotation="90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textRotation="90" wrapText="1"/>
    </xf>
    <xf numFmtId="0" fontId="3" fillId="0" borderId="8" xfId="0" applyFont="1" applyBorder="1" applyAlignment="1">
      <alignment horizontal="center" textRotation="90" wrapText="1"/>
    </xf>
    <xf numFmtId="0" fontId="0" fillId="0" borderId="10" xfId="0" applyBorder="1"/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textRotation="90" wrapText="1"/>
    </xf>
    <xf numFmtId="0" fontId="3" fillId="0" borderId="0" xfId="0" applyFont="1" applyAlignment="1">
      <alignment horizontal="center" textRotation="90" wrapText="1"/>
    </xf>
    <xf numFmtId="0" fontId="3" fillId="0" borderId="13" xfId="0" applyFont="1" applyBorder="1" applyAlignment="1">
      <alignment horizontal="center" textRotation="90" wrapText="1"/>
    </xf>
    <xf numFmtId="0" fontId="3" fillId="0" borderId="3" xfId="0" applyFont="1" applyBorder="1" applyAlignment="1">
      <alignment horizontal="center" textRotation="90" wrapText="1"/>
    </xf>
    <xf numFmtId="0" fontId="3" fillId="0" borderId="12" xfId="0" applyFont="1" applyBorder="1" applyAlignment="1">
      <alignment horizontal="center" textRotation="90" wrapText="1"/>
    </xf>
    <xf numFmtId="0" fontId="3" fillId="0" borderId="10" xfId="0" applyFont="1" applyBorder="1" applyAlignment="1">
      <alignment horizontal="center" textRotation="90" wrapText="1"/>
    </xf>
    <xf numFmtId="0" fontId="3" fillId="0" borderId="7" xfId="0" applyFont="1" applyBorder="1" applyAlignment="1">
      <alignment horizontal="right" textRotation="90" wrapText="1"/>
    </xf>
    <xf numFmtId="0" fontId="3" fillId="0" borderId="0" xfId="0" applyFont="1" applyAlignment="1">
      <alignment horizontal="right" textRotation="90" wrapText="1"/>
    </xf>
    <xf numFmtId="0" fontId="3" fillId="0" borderId="13" xfId="0" applyFont="1" applyBorder="1" applyAlignment="1">
      <alignment horizontal="right" textRotation="90" wrapText="1"/>
    </xf>
    <xf numFmtId="167" fontId="3" fillId="0" borderId="1" xfId="0" applyNumberFormat="1" applyFont="1" applyBorder="1" applyAlignment="1">
      <alignment horizontal="center" vertical="center" wrapText="1"/>
    </xf>
    <xf numFmtId="167" fontId="3" fillId="0" borderId="8" xfId="0" applyNumberFormat="1" applyFont="1" applyBorder="1" applyAlignment="1">
      <alignment horizontal="center" vertical="center" wrapText="1"/>
    </xf>
    <xf numFmtId="167" fontId="3" fillId="0" borderId="10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right" textRotation="90" wrapText="1"/>
    </xf>
    <xf numFmtId="0" fontId="3" fillId="0" borderId="14" xfId="0" applyFont="1" applyBorder="1" applyAlignment="1">
      <alignment horizontal="right" textRotation="90" wrapText="1"/>
    </xf>
    <xf numFmtId="0" fontId="3" fillId="0" borderId="12" xfId="0" applyFont="1" applyBorder="1" applyAlignment="1">
      <alignment horizontal="right" textRotation="90" wrapText="1"/>
    </xf>
    <xf numFmtId="167" fontId="3" fillId="0" borderId="1" xfId="0" applyNumberFormat="1" applyFont="1" applyBorder="1" applyAlignment="1">
      <alignment vertical="center" wrapText="1"/>
    </xf>
    <xf numFmtId="167" fontId="3" fillId="0" borderId="8" xfId="0" applyNumberFormat="1" applyFont="1" applyBorder="1" applyAlignment="1">
      <alignment vertical="center" wrapText="1"/>
    </xf>
    <xf numFmtId="167" fontId="3" fillId="0" borderId="10" xfId="0" applyNumberFormat="1" applyFont="1" applyBorder="1" applyAlignment="1">
      <alignment vertical="center" wrapText="1"/>
    </xf>
    <xf numFmtId="167" fontId="3" fillId="0" borderId="1" xfId="0" applyNumberFormat="1" applyFont="1" applyBorder="1" applyAlignment="1">
      <alignment horizontal="left" vertical="center" wrapText="1"/>
    </xf>
    <xf numFmtId="167" fontId="3" fillId="0" borderId="8" xfId="0" applyNumberFormat="1" applyFont="1" applyBorder="1" applyAlignment="1">
      <alignment horizontal="left" vertical="center" wrapText="1"/>
    </xf>
    <xf numFmtId="167" fontId="3" fillId="0" borderId="10" xfId="0" applyNumberFormat="1" applyFont="1" applyBorder="1" applyAlignment="1">
      <alignment horizontal="left" vertical="center" wrapText="1"/>
    </xf>
    <xf numFmtId="0" fontId="13" fillId="0" borderId="0" xfId="0" applyFont="1" applyAlignment="1">
      <alignment horizontal="center"/>
    </xf>
    <xf numFmtId="167" fontId="3" fillId="0" borderId="1" xfId="0" applyNumberFormat="1" applyFont="1" applyBorder="1" applyAlignment="1">
      <alignment horizontal="left" vertical="center" wrapText="1" indent="1"/>
    </xf>
    <xf numFmtId="167" fontId="3" fillId="0" borderId="8" xfId="0" applyNumberFormat="1" applyFont="1" applyBorder="1" applyAlignment="1">
      <alignment horizontal="left" vertical="center" wrapText="1" indent="1"/>
    </xf>
    <xf numFmtId="167" fontId="3" fillId="0" borderId="10" xfId="0" applyNumberFormat="1" applyFont="1" applyBorder="1" applyAlignment="1">
      <alignment horizontal="left" vertical="center" wrapText="1" indent="1"/>
    </xf>
    <xf numFmtId="0" fontId="3" fillId="0" borderId="14" xfId="0" applyFont="1" applyBorder="1" applyAlignment="1">
      <alignment horizontal="center" textRotation="90" wrapText="1"/>
    </xf>
  </cellXfs>
  <cellStyles count="5">
    <cellStyle name="Comma 2" xfId="2" xr:uid="{4D5E99C0-C17B-4C59-9A72-4C2AC111234E}"/>
    <cellStyle name="Normal" xfId="0" builtinId="0"/>
    <cellStyle name="Normal 10" xfId="4" xr:uid="{1CF284FA-2741-4CED-89C4-98C0C08FDC89}"/>
    <cellStyle name="Normal 2 2" xfId="3" xr:uid="{80173985-79E7-4F88-B65C-568231320ED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spc12019\news11-2000\Labour\News%20Releases\May9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BOUR"/>
      <sheetName val="Registered Unemployed"/>
      <sheetName val="Sectoral Spread"/>
      <sheetName val="Part-Time"/>
      <sheetName val="Registered_Unemployed2"/>
      <sheetName val="Sectoral_Spread2"/>
      <sheetName val="Registered_Unemployed"/>
      <sheetName val="Sectoral_Spread"/>
      <sheetName val="Registered_Unemployed1"/>
      <sheetName val="Sectoral_Spread1"/>
      <sheetName val="Chart 1 Inbound"/>
      <sheetName val="Registered_Unemployed4"/>
      <sheetName val="Sectoral_Spread4"/>
      <sheetName val="Registered_Unemployed3"/>
      <sheetName val="Sectoral_Spread3"/>
      <sheetName val="Chart_1_Inbound1"/>
      <sheetName val="Chart_1_Inbound"/>
      <sheetName val="Registered_Unemployed5"/>
      <sheetName val="Sectoral_Spread5"/>
      <sheetName val="Chart_1_Inbound2"/>
      <sheetName val="Chart_1_Inbound3"/>
      <sheetName val="Registered_Unemployed6"/>
      <sheetName val="Sectoral_Spread6"/>
      <sheetName val="Chart_1_Inbound4"/>
      <sheetName val="Registered_Unemployed7"/>
      <sheetName val="Sectoral_Spread7"/>
      <sheetName val="Chart_1_Inbound5"/>
      <sheetName val="Chart_1_Inbound6"/>
      <sheetName val="Chart_1_Inbound7"/>
      <sheetName val="Registered_Unemployed9"/>
      <sheetName val="Sectoral_Spread9"/>
      <sheetName val="Registered_Unemployed8"/>
      <sheetName val="Sectoral_Spread8"/>
      <sheetName val="Chart_1_Inbound8"/>
      <sheetName val="Chart_1_Inbound9"/>
      <sheetName val="Registered_Unemployed10"/>
      <sheetName val="Sectoral_Spread10"/>
      <sheetName val="Chart_1_Inbound10"/>
      <sheetName val="Registered_Unemployed11"/>
      <sheetName val="Sectoral_Spread11"/>
      <sheetName val="Chart_1_Inbound11"/>
      <sheetName val="Registered_Unemployed12"/>
      <sheetName val="Sectoral_Spread12"/>
      <sheetName val="Chart_1_Inbound12"/>
      <sheetName val="Table 3.7"/>
      <sheetName val="Registered_Unemployed13"/>
      <sheetName val="Sectoral_Spread13"/>
      <sheetName val="Chart_1_Inbound13"/>
      <sheetName val="Registered_Unemployed14"/>
      <sheetName val="Sectoral_Spread14"/>
      <sheetName val="Chart_1_Inbound14"/>
      <sheetName val="Registered_Unemployed15"/>
      <sheetName val="Sectoral_Spread15"/>
      <sheetName val="Chart_1_Inbound15"/>
      <sheetName val="Registered_Unemployed21"/>
      <sheetName val="Sectoral_Spread21"/>
      <sheetName val="Chart_1_Inbound21"/>
      <sheetName val="Registered_Unemployed17"/>
      <sheetName val="Sectoral_Spread17"/>
      <sheetName val="Chart_1_Inbound17"/>
      <sheetName val="Registered_Unemployed16"/>
      <sheetName val="Sectoral_Spread16"/>
      <sheetName val="Chart_1_Inbound16"/>
      <sheetName val="Registered_Unemployed18"/>
      <sheetName val="Sectoral_Spread18"/>
      <sheetName val="Chart_1_Inbound18"/>
      <sheetName val="Registered_Unemployed19"/>
      <sheetName val="Sectoral_Spread19"/>
      <sheetName val="Chart_1_Inbound19"/>
      <sheetName val="Registered_Unemployed20"/>
      <sheetName val="Sectoral_Spread20"/>
      <sheetName val="Chart_1_Inbound20"/>
      <sheetName val="Table_3_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theme/theme1.xml><?xml version="1.0" encoding="utf-8"?>
<a:theme xmlns:a="http://schemas.openxmlformats.org/drawingml/2006/main" name="Office-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9F9DF-0676-4DBE-B674-7E6254AD2BD3}">
  <sheetPr>
    <pageSetUpPr fitToPage="1"/>
  </sheetPr>
  <dimension ref="A1:X53"/>
  <sheetViews>
    <sheetView tabSelected="1" zoomScaleNormal="100" workbookViewId="0">
      <selection activeCell="A51" sqref="A51:XFD51"/>
    </sheetView>
  </sheetViews>
  <sheetFormatPr defaultColWidth="9.140625" defaultRowHeight="12" x14ac:dyDescent="0.2"/>
  <cols>
    <col min="1" max="1" width="9" style="2" customWidth="1"/>
    <col min="2" max="2" width="12.7109375" style="2" bestFit="1" customWidth="1"/>
    <col min="3" max="3" width="7.7109375" style="2" customWidth="1"/>
    <col min="4" max="4" width="14.5703125" style="2" bestFit="1" customWidth="1"/>
    <col min="5" max="5" width="7.7109375" style="2" customWidth="1"/>
    <col min="6" max="6" width="10.5703125" style="2" bestFit="1" customWidth="1"/>
    <col min="7" max="7" width="14.5703125" style="2" bestFit="1" customWidth="1"/>
    <col min="8" max="8" width="12.7109375" style="2" bestFit="1" customWidth="1"/>
    <col min="9" max="9" width="10.5703125" style="2" bestFit="1" customWidth="1"/>
    <col min="10" max="10" width="12.7109375" style="2" bestFit="1" customWidth="1"/>
    <col min="11" max="11" width="8.85546875" style="2" bestFit="1" customWidth="1"/>
    <col min="12" max="12" width="12.7109375" style="2" bestFit="1" customWidth="1"/>
    <col min="13" max="13" width="10.5703125" style="2" bestFit="1" customWidth="1"/>
    <col min="14" max="17" width="7.7109375" style="2" customWidth="1"/>
    <col min="18" max="18" width="8.7109375" style="2" bestFit="1" customWidth="1"/>
    <col min="19" max="19" width="7.7109375" style="3" customWidth="1"/>
    <col min="20" max="20" width="9.7109375" style="2" bestFit="1" customWidth="1"/>
    <col min="21" max="22" width="9.140625" style="2"/>
    <col min="23" max="23" width="13.28515625" style="1" bestFit="1" customWidth="1"/>
    <col min="24" max="24" width="12.7109375" style="1" bestFit="1" customWidth="1"/>
    <col min="25" max="16384" width="9.140625" style="2"/>
  </cols>
  <sheetData>
    <row r="1" spans="1:24" ht="15" customHeight="1" x14ac:dyDescent="0.2">
      <c r="A1" s="134" t="s">
        <v>0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</row>
    <row r="2" spans="1:24" ht="8.1" customHeight="1" x14ac:dyDescent="0.2"/>
    <row r="3" spans="1:24" s="5" customFormat="1" ht="24.6" customHeight="1" x14ac:dyDescent="0.2">
      <c r="A3" s="135" t="s">
        <v>1</v>
      </c>
      <c r="B3" s="138" t="s">
        <v>2</v>
      </c>
      <c r="C3" s="138" t="s">
        <v>3</v>
      </c>
      <c r="D3" s="141" t="s">
        <v>4</v>
      </c>
      <c r="E3" s="135"/>
      <c r="F3" s="142" t="s">
        <v>5</v>
      </c>
      <c r="G3" s="145" t="s">
        <v>6</v>
      </c>
      <c r="H3" s="146"/>
      <c r="I3" s="147"/>
      <c r="J3" s="145" t="s">
        <v>7</v>
      </c>
      <c r="K3" s="147"/>
      <c r="L3" s="146" t="s">
        <v>8</v>
      </c>
      <c r="M3" s="147"/>
      <c r="N3" s="141" t="s">
        <v>9</v>
      </c>
      <c r="O3" s="148"/>
      <c r="P3" s="148"/>
      <c r="Q3" s="148"/>
      <c r="R3" s="148"/>
      <c r="S3" s="145" t="s">
        <v>10</v>
      </c>
      <c r="T3" s="146"/>
      <c r="U3" s="147"/>
      <c r="V3" s="149" t="s">
        <v>11</v>
      </c>
      <c r="W3" s="4"/>
      <c r="X3" s="4"/>
    </row>
    <row r="4" spans="1:24" s="5" customFormat="1" ht="15" customHeight="1" x14ac:dyDescent="0.2">
      <c r="A4" s="136"/>
      <c r="B4" s="139"/>
      <c r="C4" s="139"/>
      <c r="D4" s="152" t="s">
        <v>12</v>
      </c>
      <c r="E4" s="142" t="s">
        <v>13</v>
      </c>
      <c r="F4" s="143"/>
      <c r="G4" s="149" t="s">
        <v>14</v>
      </c>
      <c r="H4" s="149" t="s">
        <v>15</v>
      </c>
      <c r="I4" s="142" t="s">
        <v>13</v>
      </c>
      <c r="J4" s="149" t="s">
        <v>15</v>
      </c>
      <c r="K4" s="142" t="s">
        <v>13</v>
      </c>
      <c r="L4" s="149" t="s">
        <v>15</v>
      </c>
      <c r="M4" s="142" t="s">
        <v>13</v>
      </c>
      <c r="N4" s="152" t="s">
        <v>12</v>
      </c>
      <c r="O4" s="149" t="s">
        <v>14</v>
      </c>
      <c r="P4" s="149" t="s">
        <v>15</v>
      </c>
      <c r="Q4" s="149" t="s">
        <v>16</v>
      </c>
      <c r="R4" s="142" t="s">
        <v>13</v>
      </c>
      <c r="S4" s="152" t="s">
        <v>17</v>
      </c>
      <c r="T4" s="149" t="s">
        <v>18</v>
      </c>
      <c r="U4" s="142" t="s">
        <v>19</v>
      </c>
      <c r="V4" s="150"/>
      <c r="W4" s="4"/>
      <c r="X4" s="4"/>
    </row>
    <row r="5" spans="1:24" s="7" customFormat="1" ht="90.75" customHeight="1" x14ac:dyDescent="0.2">
      <c r="A5" s="137"/>
      <c r="B5" s="140"/>
      <c r="C5" s="140"/>
      <c r="D5" s="153"/>
      <c r="E5" s="154"/>
      <c r="F5" s="144"/>
      <c r="G5" s="151"/>
      <c r="H5" s="151" t="s">
        <v>20</v>
      </c>
      <c r="I5" s="154" t="s">
        <v>21</v>
      </c>
      <c r="J5" s="151" t="s">
        <v>20</v>
      </c>
      <c r="K5" s="154" t="s">
        <v>21</v>
      </c>
      <c r="L5" s="151"/>
      <c r="M5" s="154" t="s">
        <v>21</v>
      </c>
      <c r="N5" s="153"/>
      <c r="O5" s="151"/>
      <c r="P5" s="151"/>
      <c r="Q5" s="151"/>
      <c r="R5" s="154"/>
      <c r="S5" s="153"/>
      <c r="T5" s="151" t="s">
        <v>21</v>
      </c>
      <c r="U5" s="154"/>
      <c r="V5" s="151"/>
      <c r="W5" s="6"/>
      <c r="X5" s="6"/>
    </row>
    <row r="6" spans="1:24" s="7" customFormat="1" ht="12" customHeight="1" x14ac:dyDescent="0.2">
      <c r="A6" s="8">
        <v>2022</v>
      </c>
      <c r="B6" s="9"/>
      <c r="C6" s="10"/>
      <c r="D6" s="11"/>
      <c r="E6" s="11"/>
      <c r="F6" s="10"/>
      <c r="G6" s="11"/>
      <c r="H6" s="11"/>
      <c r="I6" s="12"/>
      <c r="J6" s="11"/>
      <c r="K6" s="11"/>
      <c r="L6" s="13"/>
      <c r="M6" s="14"/>
      <c r="N6" s="15"/>
      <c r="O6" s="9"/>
      <c r="P6" s="9"/>
      <c r="Q6" s="16"/>
      <c r="R6" s="17"/>
      <c r="S6" s="15"/>
      <c r="T6" s="9"/>
      <c r="U6" s="17"/>
      <c r="V6" s="18"/>
      <c r="W6" s="6"/>
      <c r="X6" s="6"/>
    </row>
    <row r="7" spans="1:24" s="7" customFormat="1" ht="12" customHeight="1" x14ac:dyDescent="0.2">
      <c r="A7" s="19" t="s">
        <v>22</v>
      </c>
      <c r="B7" s="20">
        <v>2443</v>
      </c>
      <c r="C7" s="21">
        <v>353</v>
      </c>
      <c r="D7" s="22">
        <v>103</v>
      </c>
      <c r="E7" s="22">
        <v>1433</v>
      </c>
      <c r="F7" s="21">
        <v>439</v>
      </c>
      <c r="G7" s="23">
        <v>2</v>
      </c>
      <c r="H7" s="22">
        <v>1189</v>
      </c>
      <c r="I7" s="24">
        <v>35801</v>
      </c>
      <c r="J7" s="22">
        <v>688</v>
      </c>
      <c r="K7" s="22">
        <v>163</v>
      </c>
      <c r="L7" s="25">
        <v>144</v>
      </c>
      <c r="M7" s="26">
        <v>1166</v>
      </c>
      <c r="N7" s="27">
        <v>2707</v>
      </c>
      <c r="O7" s="28">
        <v>446</v>
      </c>
      <c r="P7" s="28">
        <v>8925</v>
      </c>
      <c r="Q7" s="29">
        <v>270</v>
      </c>
      <c r="R7" s="30">
        <v>301364</v>
      </c>
      <c r="S7" s="27">
        <v>51777</v>
      </c>
      <c r="T7" s="28">
        <v>4100</v>
      </c>
      <c r="U7" s="30">
        <v>1156</v>
      </c>
      <c r="V7" s="18">
        <v>414669</v>
      </c>
      <c r="W7" s="6"/>
      <c r="X7" s="6"/>
    </row>
    <row r="8" spans="1:24" s="7" customFormat="1" ht="12" customHeight="1" x14ac:dyDescent="0.2">
      <c r="A8" s="19" t="s">
        <v>23</v>
      </c>
      <c r="B8" s="20">
        <v>2474</v>
      </c>
      <c r="C8" s="21">
        <v>358</v>
      </c>
      <c r="D8" s="22">
        <v>105</v>
      </c>
      <c r="E8" s="22">
        <v>1441</v>
      </c>
      <c r="F8" s="21">
        <v>440</v>
      </c>
      <c r="G8" s="23">
        <v>2</v>
      </c>
      <c r="H8" s="22">
        <v>1224</v>
      </c>
      <c r="I8" s="24">
        <v>36821</v>
      </c>
      <c r="J8" s="22">
        <v>2259</v>
      </c>
      <c r="K8" s="22">
        <v>179</v>
      </c>
      <c r="L8" s="25">
        <v>175</v>
      </c>
      <c r="M8" s="26">
        <v>1168</v>
      </c>
      <c r="N8" s="27">
        <v>2999</v>
      </c>
      <c r="O8" s="28">
        <v>518</v>
      </c>
      <c r="P8" s="28">
        <v>9524</v>
      </c>
      <c r="Q8" s="29">
        <v>278</v>
      </c>
      <c r="R8" s="30">
        <v>301903</v>
      </c>
      <c r="S8" s="27">
        <v>52096</v>
      </c>
      <c r="T8" s="28">
        <v>4140</v>
      </c>
      <c r="U8" s="30">
        <v>1150</v>
      </c>
      <c r="V8" s="18">
        <v>419254</v>
      </c>
      <c r="W8" s="6"/>
      <c r="X8" s="6"/>
    </row>
    <row r="9" spans="1:24" s="7" customFormat="1" ht="12" customHeight="1" x14ac:dyDescent="0.2">
      <c r="A9" s="19" t="s">
        <v>24</v>
      </c>
      <c r="B9" s="20">
        <v>2488</v>
      </c>
      <c r="C9" s="21">
        <v>357</v>
      </c>
      <c r="D9" s="22">
        <v>102</v>
      </c>
      <c r="E9" s="22">
        <v>1461</v>
      </c>
      <c r="F9" s="21">
        <v>442</v>
      </c>
      <c r="G9" s="23" t="s">
        <v>25</v>
      </c>
      <c r="H9" s="22">
        <v>1280</v>
      </c>
      <c r="I9" s="24">
        <v>38177</v>
      </c>
      <c r="J9" s="22">
        <v>2631</v>
      </c>
      <c r="K9" s="22">
        <v>189</v>
      </c>
      <c r="L9" s="25">
        <v>181</v>
      </c>
      <c r="M9" s="26">
        <v>1161</v>
      </c>
      <c r="N9" s="27">
        <v>3355</v>
      </c>
      <c r="O9" s="28">
        <v>525</v>
      </c>
      <c r="P9" s="28">
        <v>9799</v>
      </c>
      <c r="Q9" s="29">
        <v>281</v>
      </c>
      <c r="R9" s="30">
        <v>302526</v>
      </c>
      <c r="S9" s="27">
        <v>52301</v>
      </c>
      <c r="T9" s="28">
        <v>4170</v>
      </c>
      <c r="U9" s="30">
        <v>1150</v>
      </c>
      <c r="V9" s="18">
        <v>422576</v>
      </c>
      <c r="W9" s="6"/>
      <c r="X9" s="6"/>
    </row>
    <row r="10" spans="1:24" s="7" customFormat="1" ht="12.6" customHeight="1" x14ac:dyDescent="0.2">
      <c r="A10" s="19" t="s">
        <v>26</v>
      </c>
      <c r="B10" s="20">
        <v>2517</v>
      </c>
      <c r="C10" s="21">
        <v>367</v>
      </c>
      <c r="D10" s="22">
        <v>102</v>
      </c>
      <c r="E10" s="22">
        <v>1492</v>
      </c>
      <c r="F10" s="21">
        <v>437</v>
      </c>
      <c r="G10" s="23" t="s">
        <v>25</v>
      </c>
      <c r="H10" s="22">
        <v>1228</v>
      </c>
      <c r="I10" s="24">
        <v>39464</v>
      </c>
      <c r="J10" s="22">
        <v>2629</v>
      </c>
      <c r="K10" s="22">
        <v>200</v>
      </c>
      <c r="L10" s="25">
        <v>158</v>
      </c>
      <c r="M10" s="31">
        <v>1158</v>
      </c>
      <c r="N10" s="28">
        <v>3639</v>
      </c>
      <c r="O10" s="28">
        <v>399</v>
      </c>
      <c r="P10" s="28">
        <v>9657</v>
      </c>
      <c r="Q10" s="29">
        <v>278</v>
      </c>
      <c r="R10" s="30">
        <v>303261</v>
      </c>
      <c r="S10" s="27">
        <v>52573</v>
      </c>
      <c r="T10" s="28">
        <v>4185</v>
      </c>
      <c r="U10" s="30">
        <v>1160</v>
      </c>
      <c r="V10" s="18">
        <v>424904</v>
      </c>
      <c r="W10" s="6"/>
      <c r="X10" s="6"/>
    </row>
    <row r="11" spans="1:24" s="37" customFormat="1" ht="12" customHeight="1" x14ac:dyDescent="0.2">
      <c r="A11" s="32"/>
      <c r="B11" s="33"/>
      <c r="C11" s="33"/>
      <c r="D11" s="2"/>
      <c r="E11" s="32"/>
      <c r="F11" s="33"/>
      <c r="G11" s="23"/>
      <c r="H11" s="2"/>
      <c r="I11" s="32"/>
      <c r="J11" s="2"/>
      <c r="K11" s="2"/>
      <c r="L11" s="34"/>
      <c r="M11" s="32"/>
      <c r="N11" s="2"/>
      <c r="O11" s="2"/>
      <c r="P11" s="2"/>
      <c r="Q11" s="2"/>
      <c r="R11" s="32"/>
      <c r="S11" s="2"/>
      <c r="T11" s="2"/>
      <c r="U11" s="35"/>
      <c r="V11" s="2"/>
      <c r="W11" s="36"/>
      <c r="X11" s="36"/>
    </row>
    <row r="12" spans="1:24" s="7" customFormat="1" ht="12" customHeight="1" x14ac:dyDescent="0.2">
      <c r="A12" s="8">
        <v>2023</v>
      </c>
      <c r="B12" s="33"/>
      <c r="C12" s="33"/>
      <c r="D12" s="2"/>
      <c r="E12" s="32"/>
      <c r="F12" s="33"/>
      <c r="G12" s="38"/>
      <c r="H12" s="2"/>
      <c r="I12" s="32"/>
      <c r="J12" s="2"/>
      <c r="K12" s="2"/>
      <c r="L12" s="34"/>
      <c r="M12" s="32"/>
      <c r="N12" s="2"/>
      <c r="O12" s="2"/>
      <c r="P12" s="2"/>
      <c r="Q12" s="2"/>
      <c r="R12" s="32"/>
      <c r="S12" s="2"/>
      <c r="T12" s="2"/>
      <c r="U12" s="35"/>
      <c r="V12" s="2"/>
      <c r="W12" s="6"/>
      <c r="X12" s="6"/>
    </row>
    <row r="13" spans="1:24" s="7" customFormat="1" ht="12" customHeight="1" x14ac:dyDescent="0.2">
      <c r="A13" s="19" t="s">
        <v>22</v>
      </c>
      <c r="B13" s="20">
        <v>2574</v>
      </c>
      <c r="C13" s="21">
        <v>370</v>
      </c>
      <c r="D13" s="22">
        <v>101</v>
      </c>
      <c r="E13" s="22">
        <v>1490</v>
      </c>
      <c r="F13" s="21">
        <v>437</v>
      </c>
      <c r="G13" s="23" t="s">
        <v>25</v>
      </c>
      <c r="H13" s="22">
        <v>1268</v>
      </c>
      <c r="I13" s="24">
        <v>39996</v>
      </c>
      <c r="J13" s="22">
        <v>2647</v>
      </c>
      <c r="K13" s="22">
        <v>239</v>
      </c>
      <c r="L13" s="25">
        <v>164</v>
      </c>
      <c r="M13" s="26">
        <v>1189</v>
      </c>
      <c r="N13" s="27">
        <v>3919</v>
      </c>
      <c r="O13" s="28">
        <v>384</v>
      </c>
      <c r="P13" s="28">
        <v>9732</v>
      </c>
      <c r="Q13" s="29">
        <v>281</v>
      </c>
      <c r="R13" s="30">
        <v>303783</v>
      </c>
      <c r="S13" s="27">
        <v>52756</v>
      </c>
      <c r="T13" s="28">
        <v>4227</v>
      </c>
      <c r="U13" s="30">
        <v>1163</v>
      </c>
      <c r="V13" s="18">
        <v>426720</v>
      </c>
      <c r="W13" s="6"/>
      <c r="X13" s="6"/>
    </row>
    <row r="14" spans="1:24" s="7" customFormat="1" ht="12" customHeight="1" x14ac:dyDescent="0.2">
      <c r="A14" s="19" t="s">
        <v>23</v>
      </c>
      <c r="B14" s="20">
        <v>2625</v>
      </c>
      <c r="C14" s="21">
        <v>380</v>
      </c>
      <c r="D14" s="22">
        <v>99</v>
      </c>
      <c r="E14" s="22">
        <v>1500</v>
      </c>
      <c r="F14" s="21">
        <v>461</v>
      </c>
      <c r="G14" s="23" t="s">
        <v>25</v>
      </c>
      <c r="H14" s="22">
        <v>1369</v>
      </c>
      <c r="I14" s="24">
        <v>40970</v>
      </c>
      <c r="J14" s="22">
        <v>3644</v>
      </c>
      <c r="K14" s="22">
        <v>257</v>
      </c>
      <c r="L14" s="25">
        <v>180</v>
      </c>
      <c r="M14" s="26">
        <v>1196</v>
      </c>
      <c r="N14" s="27">
        <v>4484</v>
      </c>
      <c r="O14" s="28">
        <v>425</v>
      </c>
      <c r="P14" s="28">
        <v>10341</v>
      </c>
      <c r="Q14" s="29">
        <v>286</v>
      </c>
      <c r="R14" s="30">
        <v>305171</v>
      </c>
      <c r="S14" s="27">
        <v>53215</v>
      </c>
      <c r="T14" s="28">
        <v>4270</v>
      </c>
      <c r="U14" s="30">
        <v>1166</v>
      </c>
      <c r="V14" s="18">
        <v>432039</v>
      </c>
      <c r="W14" s="6"/>
      <c r="X14" s="6"/>
    </row>
    <row r="15" spans="1:24" s="7" customFormat="1" ht="12" customHeight="1" x14ac:dyDescent="0.2">
      <c r="A15" s="19" t="s">
        <v>24</v>
      </c>
      <c r="B15" s="20">
        <v>2662</v>
      </c>
      <c r="C15" s="21">
        <v>379</v>
      </c>
      <c r="D15" s="22">
        <v>100</v>
      </c>
      <c r="E15" s="22">
        <v>1542</v>
      </c>
      <c r="F15" s="21">
        <v>467</v>
      </c>
      <c r="G15" s="23" t="s">
        <v>25</v>
      </c>
      <c r="H15" s="22">
        <v>1487</v>
      </c>
      <c r="I15" s="24">
        <v>41872</v>
      </c>
      <c r="J15" s="22">
        <v>4348</v>
      </c>
      <c r="K15" s="22">
        <v>281</v>
      </c>
      <c r="L15" s="25">
        <v>183</v>
      </c>
      <c r="M15" s="26">
        <v>1196</v>
      </c>
      <c r="N15" s="27">
        <v>4623</v>
      </c>
      <c r="O15" s="28">
        <v>438</v>
      </c>
      <c r="P15" s="28">
        <v>10465</v>
      </c>
      <c r="Q15" s="29">
        <v>286</v>
      </c>
      <c r="R15" s="30">
        <v>306575</v>
      </c>
      <c r="S15" s="27">
        <v>53603</v>
      </c>
      <c r="T15" s="28">
        <v>4331</v>
      </c>
      <c r="U15" s="30">
        <v>1169</v>
      </c>
      <c r="V15" s="18">
        <v>436007</v>
      </c>
      <c r="W15" s="6"/>
      <c r="X15" s="6"/>
    </row>
    <row r="16" spans="1:24" s="7" customFormat="1" ht="13.5" customHeight="1" x14ac:dyDescent="0.2">
      <c r="A16" s="19" t="s">
        <v>26</v>
      </c>
      <c r="B16" s="20">
        <v>2683</v>
      </c>
      <c r="C16" s="21">
        <v>385</v>
      </c>
      <c r="D16" s="22">
        <v>99</v>
      </c>
      <c r="E16" s="22">
        <v>1550</v>
      </c>
      <c r="F16" s="21">
        <v>467</v>
      </c>
      <c r="G16" s="23" t="s">
        <v>25</v>
      </c>
      <c r="H16" s="22">
        <v>1397</v>
      </c>
      <c r="I16" s="24">
        <v>42697</v>
      </c>
      <c r="J16" s="22">
        <v>4242</v>
      </c>
      <c r="K16" s="22">
        <v>296</v>
      </c>
      <c r="L16" s="25">
        <v>172</v>
      </c>
      <c r="M16" s="26">
        <v>1202</v>
      </c>
      <c r="N16" s="27">
        <v>4787</v>
      </c>
      <c r="O16" s="28">
        <v>351</v>
      </c>
      <c r="P16" s="28">
        <v>10360</v>
      </c>
      <c r="Q16" s="29">
        <v>285</v>
      </c>
      <c r="R16" s="30">
        <v>308069</v>
      </c>
      <c r="S16" s="27">
        <v>53958</v>
      </c>
      <c r="T16" s="28">
        <v>4393</v>
      </c>
      <c r="U16" s="30">
        <v>1174</v>
      </c>
      <c r="V16" s="18">
        <v>438567</v>
      </c>
      <c r="W16" s="6"/>
      <c r="X16" s="6"/>
    </row>
    <row r="17" spans="1:24" s="37" customFormat="1" ht="12" customHeight="1" x14ac:dyDescent="0.2">
      <c r="A17" s="32"/>
      <c r="B17" s="33"/>
      <c r="C17" s="33"/>
      <c r="D17" s="2"/>
      <c r="E17" s="32"/>
      <c r="F17" s="33"/>
      <c r="G17" s="38"/>
      <c r="H17" s="2"/>
      <c r="I17" s="32"/>
      <c r="J17" s="2"/>
      <c r="K17" s="2"/>
      <c r="L17" s="34"/>
      <c r="M17" s="32"/>
      <c r="N17" s="2"/>
      <c r="O17" s="2"/>
      <c r="P17" s="2"/>
      <c r="Q17" s="2"/>
      <c r="R17" s="32"/>
      <c r="S17" s="2"/>
      <c r="T17" s="2"/>
      <c r="U17" s="35"/>
      <c r="V17" s="2"/>
      <c r="W17" s="36"/>
      <c r="X17" s="36"/>
    </row>
    <row r="18" spans="1:24" s="7" customFormat="1" ht="12" customHeight="1" x14ac:dyDescent="0.2">
      <c r="A18" s="8">
        <v>2024</v>
      </c>
      <c r="B18" s="33"/>
      <c r="C18" s="33"/>
      <c r="D18" s="2"/>
      <c r="E18" s="32"/>
      <c r="F18" s="33"/>
      <c r="G18" s="38"/>
      <c r="H18" s="2"/>
      <c r="I18" s="32"/>
      <c r="J18" s="2"/>
      <c r="K18" s="2"/>
      <c r="L18" s="34"/>
      <c r="M18" s="32"/>
      <c r="N18" s="2"/>
      <c r="O18" s="2"/>
      <c r="P18" s="2"/>
      <c r="Q18" s="2"/>
      <c r="R18" s="32"/>
      <c r="S18" s="2"/>
      <c r="T18" s="2"/>
      <c r="U18" s="35"/>
      <c r="V18" s="2"/>
      <c r="W18" s="6"/>
      <c r="X18" s="6"/>
    </row>
    <row r="19" spans="1:24" s="7" customFormat="1" ht="12" customHeight="1" x14ac:dyDescent="0.2">
      <c r="A19" s="19" t="s">
        <v>22</v>
      </c>
      <c r="B19" s="20">
        <v>2742</v>
      </c>
      <c r="C19" s="21">
        <v>390</v>
      </c>
      <c r="D19" s="22">
        <v>96</v>
      </c>
      <c r="E19" s="22">
        <v>1545</v>
      </c>
      <c r="F19" s="21">
        <v>467</v>
      </c>
      <c r="G19" s="23" t="s">
        <v>25</v>
      </c>
      <c r="H19" s="22">
        <v>1382</v>
      </c>
      <c r="I19" s="24">
        <v>43149</v>
      </c>
      <c r="J19" s="22">
        <v>2618</v>
      </c>
      <c r="K19" s="22">
        <v>293</v>
      </c>
      <c r="L19" s="25">
        <v>168</v>
      </c>
      <c r="M19" s="26">
        <v>1202</v>
      </c>
      <c r="N19" s="27">
        <v>4780</v>
      </c>
      <c r="O19" s="28">
        <v>324</v>
      </c>
      <c r="P19" s="28">
        <v>10752</v>
      </c>
      <c r="Q19" s="29">
        <v>283</v>
      </c>
      <c r="R19" s="30">
        <v>309399</v>
      </c>
      <c r="S19" s="27">
        <v>54180</v>
      </c>
      <c r="T19" s="28">
        <v>4466</v>
      </c>
      <c r="U19" s="30">
        <v>1162</v>
      </c>
      <c r="V19" s="18">
        <v>439398</v>
      </c>
      <c r="W19" s="6"/>
      <c r="X19" s="6"/>
    </row>
    <row r="20" spans="1:24" s="7" customFormat="1" ht="12" customHeight="1" x14ac:dyDescent="0.2">
      <c r="A20" s="19" t="s">
        <v>23</v>
      </c>
      <c r="B20" s="20">
        <v>2788</v>
      </c>
      <c r="C20" s="21">
        <v>397</v>
      </c>
      <c r="D20" s="22">
        <v>92</v>
      </c>
      <c r="E20" s="22">
        <v>1545</v>
      </c>
      <c r="F20" s="21">
        <v>498</v>
      </c>
      <c r="G20" s="23" t="s">
        <v>25</v>
      </c>
      <c r="H20" s="22">
        <v>1414</v>
      </c>
      <c r="I20" s="24">
        <v>43980</v>
      </c>
      <c r="J20" s="22" t="s">
        <v>25</v>
      </c>
      <c r="K20" s="22">
        <v>356</v>
      </c>
      <c r="L20" s="25">
        <v>173</v>
      </c>
      <c r="M20" s="26">
        <v>1196</v>
      </c>
      <c r="N20" s="27">
        <v>4917</v>
      </c>
      <c r="O20" s="28">
        <v>338</v>
      </c>
      <c r="P20" s="28">
        <v>11264</v>
      </c>
      <c r="Q20" s="29">
        <v>286</v>
      </c>
      <c r="R20" s="30">
        <v>310822</v>
      </c>
      <c r="S20" s="27">
        <v>54414</v>
      </c>
      <c r="T20" s="28">
        <v>4525</v>
      </c>
      <c r="U20" s="30">
        <v>1158</v>
      </c>
      <c r="V20" s="18">
        <v>440163</v>
      </c>
      <c r="W20" s="6"/>
      <c r="X20" s="6"/>
    </row>
    <row r="21" spans="1:24" s="7" customFormat="1" ht="12" customHeight="1" x14ac:dyDescent="0.2">
      <c r="A21" s="19" t="s">
        <v>24</v>
      </c>
      <c r="B21" s="20">
        <v>2841</v>
      </c>
      <c r="C21" s="21">
        <v>398</v>
      </c>
      <c r="D21" s="22">
        <v>85</v>
      </c>
      <c r="E21" s="22">
        <v>1565</v>
      </c>
      <c r="F21" s="21">
        <v>499</v>
      </c>
      <c r="G21" s="23" t="s">
        <v>25</v>
      </c>
      <c r="H21" s="22">
        <v>1421</v>
      </c>
      <c r="I21" s="24">
        <v>44804</v>
      </c>
      <c r="J21" s="22" t="s">
        <v>25</v>
      </c>
      <c r="K21" s="22">
        <v>387</v>
      </c>
      <c r="L21" s="25">
        <v>172</v>
      </c>
      <c r="M21" s="26">
        <v>1229</v>
      </c>
      <c r="N21" s="27">
        <v>5074</v>
      </c>
      <c r="O21" s="28">
        <v>329</v>
      </c>
      <c r="P21" s="28">
        <v>11489</v>
      </c>
      <c r="Q21" s="29">
        <v>285</v>
      </c>
      <c r="R21" s="30">
        <v>312109</v>
      </c>
      <c r="S21" s="28">
        <v>54766</v>
      </c>
      <c r="T21" s="28">
        <v>4581</v>
      </c>
      <c r="U21" s="30">
        <v>1159</v>
      </c>
      <c r="V21" s="18">
        <v>443193</v>
      </c>
      <c r="W21" s="6"/>
      <c r="X21" s="6"/>
    </row>
    <row r="22" spans="1:24" s="7" customFormat="1" ht="12" customHeight="1" x14ac:dyDescent="0.2">
      <c r="A22" s="19" t="s">
        <v>26</v>
      </c>
      <c r="B22" s="20">
        <v>2892</v>
      </c>
      <c r="C22" s="21">
        <v>406</v>
      </c>
      <c r="D22" s="22">
        <v>78</v>
      </c>
      <c r="E22" s="22">
        <v>1611</v>
      </c>
      <c r="F22" s="21">
        <v>525</v>
      </c>
      <c r="G22" s="23" t="s">
        <v>25</v>
      </c>
      <c r="H22" s="22">
        <v>1367</v>
      </c>
      <c r="I22" s="24">
        <v>45613</v>
      </c>
      <c r="J22" s="22" t="s">
        <v>25</v>
      </c>
      <c r="K22" s="22">
        <v>414</v>
      </c>
      <c r="L22" s="25">
        <v>160</v>
      </c>
      <c r="M22" s="31">
        <v>1248</v>
      </c>
      <c r="N22" s="28">
        <v>5065</v>
      </c>
      <c r="O22" s="28">
        <v>206</v>
      </c>
      <c r="P22" s="28">
        <v>11266</v>
      </c>
      <c r="Q22" s="29">
        <v>282</v>
      </c>
      <c r="R22" s="30">
        <v>313665</v>
      </c>
      <c r="S22" s="28">
        <v>55120</v>
      </c>
      <c r="T22" s="28">
        <v>4638</v>
      </c>
      <c r="U22" s="30">
        <v>1155</v>
      </c>
      <c r="V22" s="18">
        <v>445711</v>
      </c>
      <c r="W22" s="6"/>
      <c r="X22" s="6"/>
    </row>
    <row r="23" spans="1:24" s="7" customFormat="1" ht="12" customHeight="1" x14ac:dyDescent="0.2">
      <c r="A23" s="19"/>
      <c r="B23" s="20"/>
      <c r="C23" s="21"/>
      <c r="D23" s="22"/>
      <c r="E23" s="22"/>
      <c r="F23" s="21"/>
      <c r="G23" s="23"/>
      <c r="H23" s="22"/>
      <c r="I23" s="24"/>
      <c r="J23" s="22"/>
      <c r="K23" s="22"/>
      <c r="L23" s="25"/>
      <c r="M23" s="31"/>
      <c r="N23" s="28"/>
      <c r="O23" s="28"/>
      <c r="P23" s="28"/>
      <c r="Q23" s="29"/>
      <c r="R23" s="30"/>
      <c r="S23" s="28"/>
      <c r="T23" s="28"/>
      <c r="U23" s="30"/>
      <c r="V23" s="18"/>
      <c r="W23" s="6"/>
      <c r="X23" s="6"/>
    </row>
    <row r="24" spans="1:24" s="7" customFormat="1" ht="12" customHeight="1" x14ac:dyDescent="0.2">
      <c r="A24" s="8">
        <v>2025</v>
      </c>
      <c r="B24" s="33"/>
      <c r="C24" s="33"/>
      <c r="D24" s="2"/>
      <c r="E24" s="32"/>
      <c r="F24" s="33"/>
      <c r="G24" s="38"/>
      <c r="H24" s="2"/>
      <c r="I24" s="32"/>
      <c r="J24" s="2"/>
      <c r="K24" s="2"/>
      <c r="L24" s="34"/>
      <c r="M24" s="32"/>
      <c r="N24" s="2"/>
      <c r="O24" s="2"/>
      <c r="P24" s="2"/>
      <c r="Q24" s="2"/>
      <c r="R24" s="32"/>
      <c r="S24" s="2"/>
      <c r="T24" s="2"/>
      <c r="U24" s="35"/>
      <c r="V24" s="2"/>
      <c r="W24" s="6"/>
      <c r="X24" s="6"/>
    </row>
    <row r="25" spans="1:24" s="7" customFormat="1" ht="12" customHeight="1" x14ac:dyDescent="0.2">
      <c r="A25" s="19" t="s">
        <v>22</v>
      </c>
      <c r="B25" s="20">
        <v>2948</v>
      </c>
      <c r="C25" s="21">
        <v>402</v>
      </c>
      <c r="D25" s="22">
        <v>77</v>
      </c>
      <c r="E25" s="22">
        <v>1618</v>
      </c>
      <c r="F25" s="21">
        <v>515</v>
      </c>
      <c r="G25" s="23" t="s">
        <v>25</v>
      </c>
      <c r="H25" s="22">
        <v>1353</v>
      </c>
      <c r="I25" s="24">
        <v>46344</v>
      </c>
      <c r="J25" s="22" t="s">
        <v>25</v>
      </c>
      <c r="K25" s="22">
        <v>395</v>
      </c>
      <c r="L25" s="25">
        <v>159</v>
      </c>
      <c r="M25" s="31">
        <v>1246</v>
      </c>
      <c r="N25" s="28">
        <v>5028</v>
      </c>
      <c r="O25" s="28">
        <v>148</v>
      </c>
      <c r="P25" s="28">
        <v>11188</v>
      </c>
      <c r="Q25" s="29">
        <v>281</v>
      </c>
      <c r="R25" s="30">
        <v>314546</v>
      </c>
      <c r="S25" s="28">
        <v>55357</v>
      </c>
      <c r="T25" s="28">
        <v>4682</v>
      </c>
      <c r="U25" s="30">
        <v>1168</v>
      </c>
      <c r="V25" s="18">
        <v>447455</v>
      </c>
    </row>
    <row r="26" spans="1:24" s="7" customFormat="1" ht="12" customHeight="1" x14ac:dyDescent="0.2">
      <c r="A26" s="19" t="s">
        <v>23</v>
      </c>
      <c r="B26" s="20">
        <v>3023</v>
      </c>
      <c r="C26" s="21">
        <v>407</v>
      </c>
      <c r="D26" s="22">
        <v>74</v>
      </c>
      <c r="E26" s="22">
        <v>1638</v>
      </c>
      <c r="F26" s="21">
        <v>564</v>
      </c>
      <c r="G26" s="23" t="s">
        <v>25</v>
      </c>
      <c r="H26" s="22">
        <v>1395</v>
      </c>
      <c r="I26" s="24">
        <v>47611</v>
      </c>
      <c r="J26" s="22" t="s">
        <v>25</v>
      </c>
      <c r="K26" s="22">
        <v>395</v>
      </c>
      <c r="L26" s="25">
        <v>156</v>
      </c>
      <c r="M26" s="31">
        <v>1252</v>
      </c>
      <c r="N26" s="28">
        <v>5072</v>
      </c>
      <c r="O26" s="28">
        <v>74</v>
      </c>
      <c r="P26" s="28">
        <v>11586</v>
      </c>
      <c r="Q26" s="29">
        <v>282</v>
      </c>
      <c r="R26" s="30">
        <v>315763</v>
      </c>
      <c r="S26" s="28">
        <v>55622</v>
      </c>
      <c r="T26" s="28">
        <v>4710</v>
      </c>
      <c r="U26" s="30">
        <v>1170</v>
      </c>
      <c r="V26" s="18">
        <v>450794</v>
      </c>
      <c r="W26" s="6"/>
      <c r="X26" s="39"/>
    </row>
    <row r="27" spans="1:24" s="7" customFormat="1" ht="12" customHeight="1" x14ac:dyDescent="0.2">
      <c r="A27" s="19" t="s">
        <v>24</v>
      </c>
      <c r="B27" s="20">
        <v>3098</v>
      </c>
      <c r="C27" s="21">
        <v>419</v>
      </c>
      <c r="D27" s="22">
        <v>71</v>
      </c>
      <c r="E27" s="22">
        <v>1652</v>
      </c>
      <c r="F27" s="21">
        <v>546</v>
      </c>
      <c r="G27" s="23" t="s">
        <v>25</v>
      </c>
      <c r="H27" s="22">
        <v>1453</v>
      </c>
      <c r="I27" s="24">
        <v>48907</v>
      </c>
      <c r="J27" s="22" t="s">
        <v>25</v>
      </c>
      <c r="K27" s="22">
        <v>403</v>
      </c>
      <c r="L27" s="25">
        <v>155</v>
      </c>
      <c r="M27" s="31">
        <v>1244</v>
      </c>
      <c r="N27" s="28">
        <v>5206</v>
      </c>
      <c r="O27" s="28">
        <v>37</v>
      </c>
      <c r="P27" s="28">
        <v>11518</v>
      </c>
      <c r="Q27" s="29">
        <v>282</v>
      </c>
      <c r="R27" s="30">
        <v>317330</v>
      </c>
      <c r="S27" s="28">
        <v>55892</v>
      </c>
      <c r="T27" s="28">
        <v>4741</v>
      </c>
      <c r="U27" s="30">
        <v>1184</v>
      </c>
      <c r="V27" s="18">
        <v>454138</v>
      </c>
      <c r="W27" s="40"/>
      <c r="X27" s="41"/>
    </row>
    <row r="28" spans="1:24" s="7" customFormat="1" ht="12" customHeight="1" x14ac:dyDescent="0.2">
      <c r="A28" s="42" t="s">
        <v>26</v>
      </c>
      <c r="B28" s="20">
        <v>3132</v>
      </c>
      <c r="C28" s="25">
        <v>417</v>
      </c>
      <c r="D28" s="25">
        <v>72</v>
      </c>
      <c r="E28" s="22">
        <v>1674</v>
      </c>
      <c r="F28" s="25">
        <v>521</v>
      </c>
      <c r="G28" s="43" t="s">
        <v>25</v>
      </c>
      <c r="H28" s="22">
        <v>1319</v>
      </c>
      <c r="I28" s="44">
        <v>49891</v>
      </c>
      <c r="J28" s="25">
        <v>566</v>
      </c>
      <c r="K28" s="22">
        <v>620</v>
      </c>
      <c r="L28" s="25">
        <v>140</v>
      </c>
      <c r="M28" s="26">
        <v>1237</v>
      </c>
      <c r="N28" s="27">
        <v>5337</v>
      </c>
      <c r="O28" s="28">
        <v>30</v>
      </c>
      <c r="P28" s="28">
        <v>11332</v>
      </c>
      <c r="Q28" s="29">
        <v>273</v>
      </c>
      <c r="R28" s="28">
        <v>318721</v>
      </c>
      <c r="S28" s="27">
        <v>56160</v>
      </c>
      <c r="T28" s="28">
        <v>4782</v>
      </c>
      <c r="U28" s="28">
        <v>1179</v>
      </c>
      <c r="V28" s="45">
        <f>SUM(B28:U28)</f>
        <v>457403</v>
      </c>
      <c r="W28" s="40"/>
      <c r="X28" s="41"/>
    </row>
    <row r="29" spans="1:24" ht="12.75" customHeight="1" x14ac:dyDescent="0.2"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</row>
    <row r="30" spans="1:24" x14ac:dyDescent="0.2"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</row>
    <row r="31" spans="1:24" x14ac:dyDescent="0.2">
      <c r="S31" s="2"/>
    </row>
    <row r="32" spans="1:24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52" spans="18:24" x14ac:dyDescent="0.2">
      <c r="R52" s="3"/>
      <c r="S52" s="2"/>
      <c r="V52" s="1"/>
      <c r="X52" s="2"/>
    </row>
    <row r="53" spans="18:24" ht="12.6" customHeight="1" x14ac:dyDescent="0.2">
      <c r="R53" s="3"/>
      <c r="S53" s="2"/>
      <c r="V53" s="1"/>
      <c r="X53" s="2"/>
    </row>
  </sheetData>
  <mergeCells count="29">
    <mergeCell ref="T4:T5"/>
    <mergeCell ref="U4:U5"/>
    <mergeCell ref="M4:M5"/>
    <mergeCell ref="N4:N5"/>
    <mergeCell ref="O4:O5"/>
    <mergeCell ref="P4:P5"/>
    <mergeCell ref="Q4:Q5"/>
    <mergeCell ref="R4:R5"/>
    <mergeCell ref="I4:I5"/>
    <mergeCell ref="J4:J5"/>
    <mergeCell ref="K4:K5"/>
    <mergeCell ref="L4:L5"/>
    <mergeCell ref="S4:S5"/>
    <mergeCell ref="A1:V1"/>
    <mergeCell ref="A3:A5"/>
    <mergeCell ref="B3:B5"/>
    <mergeCell ref="C3:C5"/>
    <mergeCell ref="D3:E3"/>
    <mergeCell ref="F3:F5"/>
    <mergeCell ref="G3:I3"/>
    <mergeCell ref="J3:K3"/>
    <mergeCell ref="L3:M3"/>
    <mergeCell ref="N3:R3"/>
    <mergeCell ref="S3:U3"/>
    <mergeCell ref="V3:V5"/>
    <mergeCell ref="D4:D5"/>
    <mergeCell ref="E4:E5"/>
    <mergeCell ref="G4:G5"/>
    <mergeCell ref="H4:H5"/>
  </mergeCells>
  <printOptions horizontalCentered="1"/>
  <pageMargins left="0.82677165354330717" right="0.70866141732283472" top="0.32" bottom="0.5" header="0.44" footer="0.51181102362204722"/>
  <pageSetup paperSize="9" scale="74" orientation="landscape" copies="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22FA7-D37D-4816-A83E-BE2165B92F2A}">
  <dimension ref="A1:M35"/>
  <sheetViews>
    <sheetView zoomScaleNormal="100" workbookViewId="0">
      <selection activeCell="A2" sqref="A2"/>
    </sheetView>
  </sheetViews>
  <sheetFormatPr defaultColWidth="9.140625" defaultRowHeight="12" x14ac:dyDescent="0.2"/>
  <cols>
    <col min="1" max="11" width="8.28515625" style="2" customWidth="1"/>
    <col min="12" max="12" width="8.28515625" style="3" customWidth="1"/>
    <col min="13" max="16384" width="9.140625" style="2"/>
  </cols>
  <sheetData>
    <row r="1" spans="1:13" ht="12" customHeight="1" x14ac:dyDescent="0.2">
      <c r="A1" s="134" t="s">
        <v>27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</row>
    <row r="2" spans="1:13" ht="8.1" customHeight="1" x14ac:dyDescent="0.2"/>
    <row r="3" spans="1:13" s="5" customFormat="1" ht="35.1" customHeight="1" x14ac:dyDescent="0.2">
      <c r="A3" s="158" t="s">
        <v>1</v>
      </c>
      <c r="B3" s="161" t="s">
        <v>28</v>
      </c>
      <c r="C3" s="155" t="s">
        <v>29</v>
      </c>
      <c r="D3" s="155" t="s">
        <v>30</v>
      </c>
      <c r="E3" s="155" t="s">
        <v>31</v>
      </c>
      <c r="F3" s="155" t="s">
        <v>32</v>
      </c>
      <c r="G3" s="155" t="s">
        <v>33</v>
      </c>
      <c r="H3" s="155" t="s">
        <v>34</v>
      </c>
      <c r="I3" s="155" t="s">
        <v>35</v>
      </c>
      <c r="J3" s="155" t="s">
        <v>36</v>
      </c>
      <c r="K3" s="155" t="s">
        <v>37</v>
      </c>
      <c r="L3" s="155" t="s">
        <v>38</v>
      </c>
      <c r="M3" s="155" t="s">
        <v>39</v>
      </c>
    </row>
    <row r="4" spans="1:13" s="5" customFormat="1" ht="35.1" customHeight="1" x14ac:dyDescent="0.2">
      <c r="A4" s="159"/>
      <c r="B4" s="162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</row>
    <row r="5" spans="1:13" s="5" customFormat="1" ht="40.5" customHeight="1" x14ac:dyDescent="0.2">
      <c r="A5" s="160"/>
      <c r="B5" s="163"/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157"/>
    </row>
    <row r="6" spans="1:13" s="37" customFormat="1" ht="12" customHeight="1" x14ac:dyDescent="0.2">
      <c r="A6" s="49">
        <v>2022</v>
      </c>
      <c r="B6" s="50">
        <v>105</v>
      </c>
      <c r="C6" s="51">
        <v>8</v>
      </c>
      <c r="D6" s="51">
        <v>94</v>
      </c>
      <c r="E6" s="51">
        <v>3</v>
      </c>
      <c r="F6" s="51">
        <v>6037</v>
      </c>
      <c r="G6" s="51">
        <v>2131</v>
      </c>
      <c r="H6" s="51">
        <v>98</v>
      </c>
      <c r="I6" s="51">
        <v>12328</v>
      </c>
      <c r="J6" s="51">
        <v>1960</v>
      </c>
      <c r="K6" s="51">
        <v>206</v>
      </c>
      <c r="L6" s="51">
        <v>46</v>
      </c>
      <c r="M6" s="52">
        <v>23016</v>
      </c>
    </row>
    <row r="7" spans="1:13" s="7" customFormat="1" ht="12" customHeight="1" x14ac:dyDescent="0.2">
      <c r="A7" s="42" t="s">
        <v>22</v>
      </c>
      <c r="B7" s="53">
        <v>28</v>
      </c>
      <c r="C7" s="54" t="s">
        <v>25</v>
      </c>
      <c r="D7" s="54">
        <v>21</v>
      </c>
      <c r="E7" s="54" t="s">
        <v>25</v>
      </c>
      <c r="F7" s="54">
        <v>1312</v>
      </c>
      <c r="G7" s="54">
        <v>31</v>
      </c>
      <c r="H7" s="54">
        <v>58</v>
      </c>
      <c r="I7" s="54">
        <v>3061</v>
      </c>
      <c r="J7" s="54">
        <v>439</v>
      </c>
      <c r="K7" s="54">
        <v>49</v>
      </c>
      <c r="L7" s="54">
        <v>9</v>
      </c>
      <c r="M7" s="52">
        <v>5008</v>
      </c>
    </row>
    <row r="8" spans="1:13" s="7" customFormat="1" ht="12" customHeight="1" x14ac:dyDescent="0.2">
      <c r="A8" s="42" t="s">
        <v>23</v>
      </c>
      <c r="B8" s="53">
        <v>27</v>
      </c>
      <c r="C8" s="54">
        <v>2</v>
      </c>
      <c r="D8" s="54">
        <v>9</v>
      </c>
      <c r="E8" s="54">
        <v>2</v>
      </c>
      <c r="F8" s="54">
        <v>1476</v>
      </c>
      <c r="G8" s="54">
        <v>1600</v>
      </c>
      <c r="H8" s="54">
        <v>18</v>
      </c>
      <c r="I8" s="54">
        <v>3328</v>
      </c>
      <c r="J8" s="54">
        <v>546</v>
      </c>
      <c r="K8" s="54">
        <v>60</v>
      </c>
      <c r="L8" s="54">
        <v>5</v>
      </c>
      <c r="M8" s="52">
        <v>7073</v>
      </c>
    </row>
    <row r="9" spans="1:13" s="7" customFormat="1" ht="12" customHeight="1" x14ac:dyDescent="0.2">
      <c r="A9" s="42" t="s">
        <v>24</v>
      </c>
      <c r="B9" s="53">
        <v>21</v>
      </c>
      <c r="C9" s="54">
        <v>3</v>
      </c>
      <c r="D9" s="54">
        <v>25</v>
      </c>
      <c r="E9" s="54">
        <v>1</v>
      </c>
      <c r="F9" s="54">
        <v>1648</v>
      </c>
      <c r="G9" s="54">
        <v>486</v>
      </c>
      <c r="H9" s="54">
        <v>16</v>
      </c>
      <c r="I9" s="54">
        <v>3287</v>
      </c>
      <c r="J9" s="54">
        <v>471</v>
      </c>
      <c r="K9" s="54">
        <v>39</v>
      </c>
      <c r="L9" s="54">
        <v>16</v>
      </c>
      <c r="M9" s="52">
        <v>6013</v>
      </c>
    </row>
    <row r="10" spans="1:13" s="7" customFormat="1" ht="12" customHeight="1" x14ac:dyDescent="0.2">
      <c r="A10" s="42" t="s">
        <v>26</v>
      </c>
      <c r="B10" s="53">
        <v>29</v>
      </c>
      <c r="C10" s="54">
        <v>3</v>
      </c>
      <c r="D10" s="54">
        <v>39</v>
      </c>
      <c r="E10" s="54" t="s">
        <v>25</v>
      </c>
      <c r="F10" s="54">
        <v>1601</v>
      </c>
      <c r="G10" s="54">
        <v>14</v>
      </c>
      <c r="H10" s="54">
        <v>6</v>
      </c>
      <c r="I10" s="54">
        <v>2652</v>
      </c>
      <c r="J10" s="54">
        <v>504</v>
      </c>
      <c r="K10" s="54">
        <v>58</v>
      </c>
      <c r="L10" s="54">
        <v>16</v>
      </c>
      <c r="M10" s="52">
        <v>4922</v>
      </c>
    </row>
    <row r="11" spans="1:13" s="7" customFormat="1" ht="12" customHeight="1" x14ac:dyDescent="0.2">
      <c r="A11" s="42"/>
      <c r="B11" s="53"/>
      <c r="C11" s="54"/>
      <c r="D11" s="54"/>
      <c r="E11" s="54"/>
      <c r="F11" s="54"/>
      <c r="G11" s="54"/>
      <c r="H11" s="54"/>
      <c r="I11" s="55"/>
      <c r="J11" s="54"/>
      <c r="K11" s="54"/>
      <c r="L11" s="54"/>
      <c r="M11" s="52"/>
    </row>
    <row r="12" spans="1:13" s="37" customFormat="1" ht="12" customHeight="1" x14ac:dyDescent="0.2">
      <c r="A12" s="49">
        <v>2023</v>
      </c>
      <c r="B12" s="50">
        <v>164</v>
      </c>
      <c r="C12" s="51">
        <v>12</v>
      </c>
      <c r="D12" s="51">
        <v>95</v>
      </c>
      <c r="E12" s="51">
        <v>31</v>
      </c>
      <c r="F12" s="51">
        <v>4279</v>
      </c>
      <c r="G12" s="51">
        <v>2086</v>
      </c>
      <c r="H12" s="51">
        <v>99</v>
      </c>
      <c r="I12" s="51">
        <v>14433</v>
      </c>
      <c r="J12" s="51">
        <v>2486</v>
      </c>
      <c r="K12" s="51">
        <v>316</v>
      </c>
      <c r="L12" s="51">
        <v>48</v>
      </c>
      <c r="M12" s="52">
        <v>24049</v>
      </c>
    </row>
    <row r="13" spans="1:13" s="7" customFormat="1" ht="12" customHeight="1" x14ac:dyDescent="0.2">
      <c r="A13" s="42" t="s">
        <v>22</v>
      </c>
      <c r="B13" s="53">
        <v>54</v>
      </c>
      <c r="C13" s="54">
        <v>2</v>
      </c>
      <c r="D13" s="54">
        <v>12</v>
      </c>
      <c r="E13" s="54" t="s">
        <v>25</v>
      </c>
      <c r="F13" s="54">
        <v>804</v>
      </c>
      <c r="G13" s="54">
        <v>153</v>
      </c>
      <c r="H13" s="54">
        <v>43</v>
      </c>
      <c r="I13" s="54">
        <v>3039</v>
      </c>
      <c r="J13" s="54">
        <v>520</v>
      </c>
      <c r="K13" s="54">
        <v>67</v>
      </c>
      <c r="L13" s="54">
        <v>10</v>
      </c>
      <c r="M13" s="52">
        <v>4704</v>
      </c>
    </row>
    <row r="14" spans="1:13" s="7" customFormat="1" ht="12" customHeight="1" x14ac:dyDescent="0.2">
      <c r="A14" s="19" t="s">
        <v>23</v>
      </c>
      <c r="B14" s="54">
        <v>49</v>
      </c>
      <c r="C14" s="54">
        <v>5</v>
      </c>
      <c r="D14" s="54">
        <v>13</v>
      </c>
      <c r="E14" s="56">
        <v>25</v>
      </c>
      <c r="F14" s="54">
        <v>1335</v>
      </c>
      <c r="G14" s="54">
        <v>1089</v>
      </c>
      <c r="H14" s="54">
        <v>20</v>
      </c>
      <c r="I14" s="57">
        <v>4161</v>
      </c>
      <c r="J14" s="54">
        <v>686</v>
      </c>
      <c r="K14" s="54">
        <v>83</v>
      </c>
      <c r="L14" s="54">
        <v>10</v>
      </c>
      <c r="M14" s="52">
        <v>7476</v>
      </c>
    </row>
    <row r="15" spans="1:13" s="7" customFormat="1" ht="12" customHeight="1" x14ac:dyDescent="0.2">
      <c r="A15" s="19" t="s">
        <v>24</v>
      </c>
      <c r="B15" s="54">
        <v>35</v>
      </c>
      <c r="C15" s="54">
        <v>4</v>
      </c>
      <c r="D15" s="54">
        <v>49</v>
      </c>
      <c r="E15" s="56">
        <v>6</v>
      </c>
      <c r="F15" s="54">
        <v>1173</v>
      </c>
      <c r="G15" s="56">
        <v>819</v>
      </c>
      <c r="H15" s="54">
        <v>18</v>
      </c>
      <c r="I15" s="57">
        <v>3575</v>
      </c>
      <c r="J15" s="54">
        <v>604</v>
      </c>
      <c r="K15" s="54">
        <v>86</v>
      </c>
      <c r="L15" s="54">
        <v>17</v>
      </c>
      <c r="M15" s="52">
        <v>6386</v>
      </c>
    </row>
    <row r="16" spans="1:13" s="7" customFormat="1" ht="12" customHeight="1" x14ac:dyDescent="0.2">
      <c r="A16" s="42" t="s">
        <v>26</v>
      </c>
      <c r="B16" s="53">
        <v>26</v>
      </c>
      <c r="C16" s="54">
        <v>1</v>
      </c>
      <c r="D16" s="56">
        <v>21</v>
      </c>
      <c r="E16" s="56" t="s">
        <v>25</v>
      </c>
      <c r="F16" s="54">
        <v>967</v>
      </c>
      <c r="G16" s="56">
        <v>25</v>
      </c>
      <c r="H16" s="56">
        <v>18</v>
      </c>
      <c r="I16" s="57">
        <v>3658</v>
      </c>
      <c r="J16" s="54">
        <v>676</v>
      </c>
      <c r="K16" s="54">
        <v>80</v>
      </c>
      <c r="L16" s="54">
        <v>11</v>
      </c>
      <c r="M16" s="52">
        <v>5483</v>
      </c>
    </row>
    <row r="17" spans="1:13" s="7" customFormat="1" ht="12" customHeight="1" x14ac:dyDescent="0.2">
      <c r="A17" s="42"/>
      <c r="B17" s="53"/>
      <c r="C17" s="54"/>
      <c r="D17" s="56"/>
      <c r="E17" s="56"/>
      <c r="F17" s="54"/>
      <c r="G17" s="56"/>
      <c r="H17" s="56"/>
      <c r="I17" s="57"/>
      <c r="J17" s="54"/>
      <c r="K17" s="54"/>
      <c r="L17" s="54"/>
      <c r="M17" s="52"/>
    </row>
    <row r="18" spans="1:13" s="7" customFormat="1" ht="12" customHeight="1" x14ac:dyDescent="0.2">
      <c r="A18" s="49">
        <v>2024</v>
      </c>
      <c r="B18" s="50">
        <v>232</v>
      </c>
      <c r="C18" s="51">
        <v>22</v>
      </c>
      <c r="D18" s="51">
        <v>95</v>
      </c>
      <c r="E18" s="51">
        <v>59</v>
      </c>
      <c r="F18" s="51">
        <v>4006</v>
      </c>
      <c r="G18" s="51">
        <v>205</v>
      </c>
      <c r="H18" s="51">
        <v>107</v>
      </c>
      <c r="I18" s="51">
        <v>15071</v>
      </c>
      <c r="J18" s="51">
        <v>2448</v>
      </c>
      <c r="K18" s="51">
        <v>341</v>
      </c>
      <c r="L18" s="51">
        <v>48</v>
      </c>
      <c r="M18" s="51">
        <v>22634</v>
      </c>
    </row>
    <row r="19" spans="1:13" s="7" customFormat="1" ht="12" customHeight="1" x14ac:dyDescent="0.2">
      <c r="A19" s="42" t="s">
        <v>22</v>
      </c>
      <c r="B19" s="53">
        <v>65</v>
      </c>
      <c r="C19" s="54">
        <v>6</v>
      </c>
      <c r="D19" s="56">
        <v>6</v>
      </c>
      <c r="E19" s="56" t="s">
        <v>25</v>
      </c>
      <c r="F19" s="54">
        <v>734</v>
      </c>
      <c r="G19" s="56">
        <v>35</v>
      </c>
      <c r="H19" s="56">
        <v>11</v>
      </c>
      <c r="I19" s="57">
        <v>4076</v>
      </c>
      <c r="J19" s="54">
        <v>602</v>
      </c>
      <c r="K19" s="54">
        <v>86</v>
      </c>
      <c r="L19" s="54">
        <v>16</v>
      </c>
      <c r="M19" s="52">
        <v>5637</v>
      </c>
    </row>
    <row r="20" spans="1:13" s="7" customFormat="1" ht="12" customHeight="1" x14ac:dyDescent="0.2">
      <c r="A20" s="42" t="s">
        <v>23</v>
      </c>
      <c r="B20" s="53">
        <v>49</v>
      </c>
      <c r="C20" s="54">
        <v>8</v>
      </c>
      <c r="D20" s="56">
        <v>5</v>
      </c>
      <c r="E20" s="56">
        <v>30</v>
      </c>
      <c r="F20" s="54">
        <v>1076</v>
      </c>
      <c r="G20" s="56">
        <v>72</v>
      </c>
      <c r="H20" s="56">
        <v>11</v>
      </c>
      <c r="I20" s="57">
        <v>3836</v>
      </c>
      <c r="J20" s="54">
        <v>538</v>
      </c>
      <c r="K20" s="54">
        <v>92</v>
      </c>
      <c r="L20" s="54">
        <v>9</v>
      </c>
      <c r="M20" s="52">
        <v>5726</v>
      </c>
    </row>
    <row r="21" spans="1:13" s="7" customFormat="1" ht="12" customHeight="1" x14ac:dyDescent="0.2">
      <c r="A21" s="42" t="s">
        <v>24</v>
      </c>
      <c r="B21" s="53">
        <v>57</v>
      </c>
      <c r="C21" s="54">
        <v>3</v>
      </c>
      <c r="D21" s="56">
        <v>29</v>
      </c>
      <c r="E21" s="56">
        <v>3</v>
      </c>
      <c r="F21" s="54">
        <v>1114</v>
      </c>
      <c r="G21" s="56">
        <v>52</v>
      </c>
      <c r="H21" s="56">
        <v>57</v>
      </c>
      <c r="I21" s="57">
        <v>3579</v>
      </c>
      <c r="J21" s="54">
        <v>636</v>
      </c>
      <c r="K21" s="54">
        <v>79</v>
      </c>
      <c r="L21" s="54">
        <v>12</v>
      </c>
      <c r="M21" s="52">
        <v>5621</v>
      </c>
    </row>
    <row r="22" spans="1:13" s="7" customFormat="1" ht="12" customHeight="1" x14ac:dyDescent="0.2">
      <c r="A22" s="42" t="s">
        <v>26</v>
      </c>
      <c r="B22" s="53">
        <v>61</v>
      </c>
      <c r="C22" s="54">
        <v>5</v>
      </c>
      <c r="D22" s="56">
        <v>55</v>
      </c>
      <c r="E22" s="56">
        <v>26</v>
      </c>
      <c r="F22" s="54">
        <v>1082</v>
      </c>
      <c r="G22" s="56">
        <v>46</v>
      </c>
      <c r="H22" s="56">
        <v>28</v>
      </c>
      <c r="I22" s="57">
        <v>3580</v>
      </c>
      <c r="J22" s="54">
        <v>672</v>
      </c>
      <c r="K22" s="54">
        <v>84</v>
      </c>
      <c r="L22" s="54">
        <v>11</v>
      </c>
      <c r="M22" s="52">
        <v>5650</v>
      </c>
    </row>
    <row r="23" spans="1:13" s="7" customFormat="1" ht="12" customHeight="1" x14ac:dyDescent="0.2">
      <c r="A23" s="42"/>
      <c r="B23" s="53"/>
      <c r="C23" s="54"/>
      <c r="D23" s="56"/>
      <c r="E23" s="56"/>
      <c r="F23" s="54"/>
      <c r="G23" s="56"/>
      <c r="H23" s="56"/>
      <c r="I23" s="57"/>
      <c r="J23" s="54"/>
      <c r="K23" s="54"/>
      <c r="L23" s="54"/>
      <c r="M23" s="52"/>
    </row>
    <row r="24" spans="1:13" s="7" customFormat="1" ht="12" customHeight="1" x14ac:dyDescent="0.2">
      <c r="A24" s="49">
        <v>2025</v>
      </c>
      <c r="B24" s="50">
        <v>273</v>
      </c>
      <c r="C24" s="51">
        <v>25</v>
      </c>
      <c r="D24" s="58">
        <v>111</v>
      </c>
      <c r="E24" s="58">
        <v>107</v>
      </c>
      <c r="F24" s="51">
        <v>5724</v>
      </c>
      <c r="G24" s="58">
        <v>134</v>
      </c>
      <c r="H24" s="58">
        <v>17</v>
      </c>
      <c r="I24" s="55">
        <v>14104</v>
      </c>
      <c r="J24" s="51">
        <v>2346</v>
      </c>
      <c r="K24" s="51">
        <v>311</v>
      </c>
      <c r="L24" s="51">
        <v>70</v>
      </c>
      <c r="M24" s="52">
        <v>23222</v>
      </c>
    </row>
    <row r="25" spans="1:13" s="7" customFormat="1" ht="12" customHeight="1" x14ac:dyDescent="0.2">
      <c r="A25" s="42" t="s">
        <v>22</v>
      </c>
      <c r="B25" s="53">
        <v>57</v>
      </c>
      <c r="C25" s="54">
        <v>1</v>
      </c>
      <c r="D25" s="56">
        <v>19</v>
      </c>
      <c r="E25" s="56" t="s">
        <v>25</v>
      </c>
      <c r="F25" s="54">
        <v>1000</v>
      </c>
      <c r="G25" s="56">
        <v>19</v>
      </c>
      <c r="H25" s="56">
        <v>4</v>
      </c>
      <c r="I25" s="57">
        <v>3112</v>
      </c>
      <c r="J25" s="54">
        <v>604</v>
      </c>
      <c r="K25" s="54">
        <v>88</v>
      </c>
      <c r="L25" s="54">
        <v>20</v>
      </c>
      <c r="M25" s="52">
        <v>4924</v>
      </c>
    </row>
    <row r="26" spans="1:13" s="7" customFormat="1" ht="12" customHeight="1" x14ac:dyDescent="0.2">
      <c r="A26" s="42" t="s">
        <v>23</v>
      </c>
      <c r="B26" s="53">
        <v>86</v>
      </c>
      <c r="C26" s="54">
        <v>6</v>
      </c>
      <c r="D26" s="56">
        <v>32</v>
      </c>
      <c r="E26" s="56">
        <v>100</v>
      </c>
      <c r="F26" s="54">
        <v>1559</v>
      </c>
      <c r="G26" s="56">
        <v>29</v>
      </c>
      <c r="H26" s="56">
        <v>3</v>
      </c>
      <c r="I26" s="57">
        <v>3555</v>
      </c>
      <c r="J26" s="54">
        <v>582</v>
      </c>
      <c r="K26" s="54">
        <v>67</v>
      </c>
      <c r="L26" s="54">
        <v>12</v>
      </c>
      <c r="M26" s="52">
        <v>6031</v>
      </c>
    </row>
    <row r="27" spans="1:13" s="7" customFormat="1" ht="12" customHeight="1" x14ac:dyDescent="0.2">
      <c r="A27" s="42" t="s">
        <v>24</v>
      </c>
      <c r="B27" s="53">
        <v>80</v>
      </c>
      <c r="C27" s="54">
        <v>8</v>
      </c>
      <c r="D27" s="56">
        <v>27</v>
      </c>
      <c r="E27" s="56">
        <v>7</v>
      </c>
      <c r="F27" s="54">
        <v>1664</v>
      </c>
      <c r="G27" s="56">
        <v>44</v>
      </c>
      <c r="H27" s="56">
        <v>5</v>
      </c>
      <c r="I27" s="57">
        <v>3683</v>
      </c>
      <c r="J27" s="54">
        <v>539</v>
      </c>
      <c r="K27" s="54">
        <v>64</v>
      </c>
      <c r="L27" s="54">
        <v>22</v>
      </c>
      <c r="M27" s="52">
        <v>6143</v>
      </c>
    </row>
    <row r="28" spans="1:13" s="7" customFormat="1" ht="12" customHeight="1" x14ac:dyDescent="0.2">
      <c r="A28" s="42" t="s">
        <v>26</v>
      </c>
      <c r="B28" s="53">
        <v>50</v>
      </c>
      <c r="C28" s="54">
        <v>10</v>
      </c>
      <c r="D28" s="56">
        <v>33</v>
      </c>
      <c r="E28" s="56" t="s">
        <v>25</v>
      </c>
      <c r="F28" s="54">
        <v>1501</v>
      </c>
      <c r="G28" s="56">
        <v>42</v>
      </c>
      <c r="H28" s="56">
        <v>5</v>
      </c>
      <c r="I28" s="57">
        <v>3754</v>
      </c>
      <c r="J28" s="54">
        <v>621</v>
      </c>
      <c r="K28" s="54">
        <v>92</v>
      </c>
      <c r="L28" s="54">
        <v>16</v>
      </c>
      <c r="M28" s="52">
        <v>6124</v>
      </c>
    </row>
    <row r="29" spans="1:13" s="7" customFormat="1" ht="4.5" customHeight="1" x14ac:dyDescent="0.2">
      <c r="A29" s="59"/>
      <c r="B29" s="60"/>
      <c r="C29" s="61"/>
      <c r="D29" s="62"/>
      <c r="E29" s="62"/>
      <c r="F29" s="62"/>
      <c r="G29" s="62"/>
      <c r="H29" s="62"/>
      <c r="I29" s="63"/>
      <c r="J29" s="62"/>
      <c r="K29" s="62"/>
      <c r="L29" s="62"/>
      <c r="M29" s="64"/>
    </row>
    <row r="30" spans="1:13" ht="3" customHeight="1" x14ac:dyDescent="0.2"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6"/>
    </row>
    <row r="31" spans="1:13" ht="12" customHeight="1" x14ac:dyDescent="0.2">
      <c r="A31" s="67" t="s">
        <v>40</v>
      </c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</row>
    <row r="32" spans="1:13" ht="12" customHeight="1" x14ac:dyDescent="0.2">
      <c r="A32" s="69"/>
      <c r="M32" s="66"/>
    </row>
    <row r="33" spans="1:13" ht="12" customHeight="1" x14ac:dyDescent="0.2">
      <c r="A33" s="70"/>
      <c r="G33" s="67"/>
      <c r="I33" s="65"/>
      <c r="J33" s="65"/>
      <c r="K33" s="65"/>
      <c r="L33" s="65"/>
    </row>
    <row r="34" spans="1:13" x14ac:dyDescent="0.2"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</row>
    <row r="35" spans="1:13" x14ac:dyDescent="0.2"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</row>
  </sheetData>
  <mergeCells count="14">
    <mergeCell ref="J3:J5"/>
    <mergeCell ref="K3:K5"/>
    <mergeCell ref="L3:L5"/>
    <mergeCell ref="M3:M5"/>
    <mergeCell ref="A1:L1"/>
    <mergeCell ref="A3:A5"/>
    <mergeCell ref="B3:B5"/>
    <mergeCell ref="C3:C5"/>
    <mergeCell ref="D3:D5"/>
    <mergeCell ref="E3:E5"/>
    <mergeCell ref="F3:F5"/>
    <mergeCell ref="G3:G5"/>
    <mergeCell ref="H3:H5"/>
    <mergeCell ref="I3:I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F4F1E-3D1E-4477-9218-B230C575DED7}">
  <dimension ref="A1:M36"/>
  <sheetViews>
    <sheetView workbookViewId="0">
      <selection activeCell="A2" sqref="A2"/>
    </sheetView>
  </sheetViews>
  <sheetFormatPr defaultColWidth="9.140625" defaultRowHeight="12" x14ac:dyDescent="0.2"/>
  <cols>
    <col min="1" max="11" width="8.28515625" style="2" customWidth="1"/>
    <col min="12" max="12" width="8.28515625" style="3" customWidth="1"/>
    <col min="13" max="16384" width="9.140625" style="2"/>
  </cols>
  <sheetData>
    <row r="1" spans="1:13" ht="12" customHeight="1" x14ac:dyDescent="0.2">
      <c r="A1" s="134" t="s">
        <v>41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</row>
    <row r="2" spans="1:13" ht="8.1" customHeight="1" x14ac:dyDescent="0.2"/>
    <row r="3" spans="1:13" s="5" customFormat="1" ht="35.25" customHeight="1" x14ac:dyDescent="0.2">
      <c r="A3" s="164" t="s">
        <v>1</v>
      </c>
      <c r="B3" s="161" t="s">
        <v>28</v>
      </c>
      <c r="C3" s="155" t="s">
        <v>29</v>
      </c>
      <c r="D3" s="155" t="s">
        <v>30</v>
      </c>
      <c r="E3" s="155" t="s">
        <v>31</v>
      </c>
      <c r="F3" s="155" t="s">
        <v>32</v>
      </c>
      <c r="G3" s="155" t="s">
        <v>33</v>
      </c>
      <c r="H3" s="155" t="s">
        <v>34</v>
      </c>
      <c r="I3" s="155" t="s">
        <v>35</v>
      </c>
      <c r="J3" s="155" t="s">
        <v>36</v>
      </c>
      <c r="K3" s="155" t="s">
        <v>37</v>
      </c>
      <c r="L3" s="155" t="s">
        <v>38</v>
      </c>
      <c r="M3" s="155" t="s">
        <v>39</v>
      </c>
    </row>
    <row r="4" spans="1:13" s="5" customFormat="1" ht="35.25" customHeight="1" x14ac:dyDescent="0.2">
      <c r="A4" s="165"/>
      <c r="B4" s="162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</row>
    <row r="5" spans="1:13" s="5" customFormat="1" ht="35.25" customHeight="1" x14ac:dyDescent="0.2">
      <c r="A5" s="166"/>
      <c r="B5" s="163"/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157"/>
    </row>
    <row r="6" spans="1:13" s="37" customFormat="1" ht="12" customHeight="1" x14ac:dyDescent="0.2">
      <c r="A6" s="49">
        <v>2022</v>
      </c>
      <c r="B6" s="50">
        <v>19</v>
      </c>
      <c r="C6" s="51">
        <v>3</v>
      </c>
      <c r="D6" s="51">
        <v>89</v>
      </c>
      <c r="E6" s="51">
        <v>3</v>
      </c>
      <c r="F6" s="51">
        <v>5736</v>
      </c>
      <c r="G6" s="51">
        <v>2129</v>
      </c>
      <c r="H6" s="51">
        <v>84</v>
      </c>
      <c r="I6" s="51">
        <v>6429</v>
      </c>
      <c r="J6" s="51">
        <v>758</v>
      </c>
      <c r="K6" s="51">
        <v>49</v>
      </c>
      <c r="L6" s="51">
        <v>15</v>
      </c>
      <c r="M6" s="52">
        <v>15314</v>
      </c>
    </row>
    <row r="7" spans="1:13" s="7" customFormat="1" ht="12" customHeight="1" x14ac:dyDescent="0.2">
      <c r="A7" s="19" t="s">
        <v>22</v>
      </c>
      <c r="B7" s="53">
        <v>4</v>
      </c>
      <c r="C7" s="54" t="s">
        <v>25</v>
      </c>
      <c r="D7" s="54">
        <v>20</v>
      </c>
      <c r="E7" s="54" t="s">
        <v>25</v>
      </c>
      <c r="F7" s="54">
        <v>1229</v>
      </c>
      <c r="G7" s="54">
        <v>31</v>
      </c>
      <c r="H7" s="54">
        <v>51</v>
      </c>
      <c r="I7" s="54">
        <v>1552</v>
      </c>
      <c r="J7" s="54">
        <v>162</v>
      </c>
      <c r="K7" s="54">
        <v>10</v>
      </c>
      <c r="L7" s="54">
        <v>1</v>
      </c>
      <c r="M7" s="52">
        <v>3060</v>
      </c>
    </row>
    <row r="8" spans="1:13" s="7" customFormat="1" ht="12" customHeight="1" x14ac:dyDescent="0.2">
      <c r="A8" s="19" t="s">
        <v>23</v>
      </c>
      <c r="B8" s="53">
        <v>9</v>
      </c>
      <c r="C8" s="54" t="s">
        <v>25</v>
      </c>
      <c r="D8" s="54">
        <v>8</v>
      </c>
      <c r="E8" s="54">
        <v>2</v>
      </c>
      <c r="F8" s="54">
        <v>1395</v>
      </c>
      <c r="G8" s="54">
        <v>1599</v>
      </c>
      <c r="H8" s="54">
        <v>14</v>
      </c>
      <c r="I8" s="54">
        <v>1797</v>
      </c>
      <c r="J8" s="54">
        <v>236</v>
      </c>
      <c r="K8" s="54">
        <v>16</v>
      </c>
      <c r="L8" s="54" t="s">
        <v>25</v>
      </c>
      <c r="M8" s="52">
        <v>5076</v>
      </c>
    </row>
    <row r="9" spans="1:13" s="7" customFormat="1" ht="12" customHeight="1" x14ac:dyDescent="0.2">
      <c r="A9" s="19" t="s">
        <v>24</v>
      </c>
      <c r="B9" s="53">
        <v>5</v>
      </c>
      <c r="C9" s="54">
        <v>2</v>
      </c>
      <c r="D9" s="54">
        <v>24</v>
      </c>
      <c r="E9" s="54">
        <v>1</v>
      </c>
      <c r="F9" s="54">
        <v>1577</v>
      </c>
      <c r="G9" s="54">
        <v>486</v>
      </c>
      <c r="H9" s="54">
        <v>15</v>
      </c>
      <c r="I9" s="54">
        <v>1735</v>
      </c>
      <c r="J9" s="54">
        <v>190</v>
      </c>
      <c r="K9" s="54">
        <v>10</v>
      </c>
      <c r="L9" s="54">
        <v>6</v>
      </c>
      <c r="M9" s="52">
        <v>4051</v>
      </c>
    </row>
    <row r="10" spans="1:13" s="7" customFormat="1" ht="12" customHeight="1" x14ac:dyDescent="0.2">
      <c r="A10" s="19" t="s">
        <v>26</v>
      </c>
      <c r="B10" s="53">
        <v>1</v>
      </c>
      <c r="C10" s="54">
        <v>1</v>
      </c>
      <c r="D10" s="54">
        <v>37</v>
      </c>
      <c r="E10" s="54" t="s">
        <v>25</v>
      </c>
      <c r="F10" s="54">
        <v>1535</v>
      </c>
      <c r="G10" s="54">
        <v>13</v>
      </c>
      <c r="H10" s="54">
        <v>4</v>
      </c>
      <c r="I10" s="54">
        <v>1345</v>
      </c>
      <c r="J10" s="54">
        <v>170</v>
      </c>
      <c r="K10" s="54">
        <v>13</v>
      </c>
      <c r="L10" s="54">
        <v>8</v>
      </c>
      <c r="M10" s="52">
        <v>3127</v>
      </c>
    </row>
    <row r="11" spans="1:13" s="7" customFormat="1" ht="12" customHeight="1" x14ac:dyDescent="0.2">
      <c r="A11" s="72"/>
      <c r="B11" s="53"/>
      <c r="C11" s="54"/>
      <c r="D11" s="54"/>
      <c r="E11" s="54"/>
      <c r="F11" s="54"/>
      <c r="G11" s="54"/>
      <c r="H11" s="54"/>
      <c r="I11" s="55"/>
      <c r="J11" s="54"/>
      <c r="K11" s="54"/>
      <c r="L11" s="54"/>
      <c r="M11" s="52"/>
    </row>
    <row r="12" spans="1:13" s="7" customFormat="1" ht="12" customHeight="1" x14ac:dyDescent="0.2">
      <c r="A12" s="49">
        <v>2023</v>
      </c>
      <c r="B12" s="50">
        <v>61</v>
      </c>
      <c r="C12" s="51">
        <v>2</v>
      </c>
      <c r="D12" s="51">
        <v>81</v>
      </c>
      <c r="E12" s="51">
        <v>31</v>
      </c>
      <c r="F12" s="51">
        <v>3959</v>
      </c>
      <c r="G12" s="51">
        <v>2086</v>
      </c>
      <c r="H12" s="51">
        <v>95</v>
      </c>
      <c r="I12" s="51">
        <v>7465</v>
      </c>
      <c r="J12" s="51">
        <v>875</v>
      </c>
      <c r="K12" s="51">
        <v>51</v>
      </c>
      <c r="L12" s="51">
        <v>3</v>
      </c>
      <c r="M12" s="52">
        <v>14709</v>
      </c>
    </row>
    <row r="13" spans="1:13" s="7" customFormat="1" ht="12" customHeight="1" x14ac:dyDescent="0.2">
      <c r="A13" s="19" t="s">
        <v>22</v>
      </c>
      <c r="B13" s="53">
        <v>23</v>
      </c>
      <c r="C13" s="54" t="s">
        <v>25</v>
      </c>
      <c r="D13" s="54">
        <v>11</v>
      </c>
      <c r="E13" s="54" t="s">
        <v>25</v>
      </c>
      <c r="F13" s="54">
        <v>725</v>
      </c>
      <c r="G13" s="54">
        <v>153</v>
      </c>
      <c r="H13" s="54">
        <v>42</v>
      </c>
      <c r="I13" s="54">
        <v>1601</v>
      </c>
      <c r="J13" s="54">
        <v>208</v>
      </c>
      <c r="K13" s="54">
        <v>13</v>
      </c>
      <c r="L13" s="54">
        <v>2</v>
      </c>
      <c r="M13" s="52">
        <v>2778</v>
      </c>
    </row>
    <row r="14" spans="1:13" s="7" customFormat="1" ht="12" customHeight="1" x14ac:dyDescent="0.2">
      <c r="A14" s="19" t="s">
        <v>23</v>
      </c>
      <c r="B14" s="54">
        <v>10</v>
      </c>
      <c r="C14" s="54">
        <v>2</v>
      </c>
      <c r="D14" s="54">
        <v>9</v>
      </c>
      <c r="E14" s="56">
        <v>25</v>
      </c>
      <c r="F14" s="54">
        <v>1243</v>
      </c>
      <c r="G14" s="54">
        <v>1089</v>
      </c>
      <c r="H14" s="54">
        <v>19</v>
      </c>
      <c r="I14" s="57">
        <v>2386</v>
      </c>
      <c r="J14" s="54">
        <v>217</v>
      </c>
      <c r="K14" s="54">
        <v>9</v>
      </c>
      <c r="L14" s="54" t="s">
        <v>25</v>
      </c>
      <c r="M14" s="52">
        <v>5009</v>
      </c>
    </row>
    <row r="15" spans="1:13" s="7" customFormat="1" ht="12" customHeight="1" x14ac:dyDescent="0.2">
      <c r="A15" s="19" t="s">
        <v>24</v>
      </c>
      <c r="B15" s="54">
        <v>14</v>
      </c>
      <c r="C15" s="54" t="s">
        <v>25</v>
      </c>
      <c r="D15" s="54">
        <v>43</v>
      </c>
      <c r="E15" s="56">
        <v>6</v>
      </c>
      <c r="F15" s="54">
        <v>1105</v>
      </c>
      <c r="G15" s="56">
        <v>819</v>
      </c>
      <c r="H15" s="54">
        <v>17</v>
      </c>
      <c r="I15" s="57">
        <v>1597</v>
      </c>
      <c r="J15" s="54">
        <v>225</v>
      </c>
      <c r="K15" s="54">
        <v>16</v>
      </c>
      <c r="L15" s="54" t="s">
        <v>25</v>
      </c>
      <c r="M15" s="52">
        <v>3842</v>
      </c>
    </row>
    <row r="16" spans="1:13" s="7" customFormat="1" ht="12" customHeight="1" x14ac:dyDescent="0.2">
      <c r="A16" s="42" t="s">
        <v>26</v>
      </c>
      <c r="B16" s="53">
        <v>14</v>
      </c>
      <c r="C16" s="54" t="s">
        <v>25</v>
      </c>
      <c r="D16" s="56">
        <v>18</v>
      </c>
      <c r="E16" s="56" t="s">
        <v>25</v>
      </c>
      <c r="F16" s="54">
        <v>886</v>
      </c>
      <c r="G16" s="56">
        <v>25</v>
      </c>
      <c r="H16" s="56">
        <v>17</v>
      </c>
      <c r="I16" s="57">
        <v>1881</v>
      </c>
      <c r="J16" s="54">
        <v>225</v>
      </c>
      <c r="K16" s="54">
        <v>13</v>
      </c>
      <c r="L16" s="54">
        <v>1</v>
      </c>
      <c r="M16" s="52">
        <v>3080</v>
      </c>
    </row>
    <row r="17" spans="1:13" s="7" customFormat="1" ht="12" customHeight="1" x14ac:dyDescent="0.2">
      <c r="A17" s="42"/>
      <c r="B17" s="53"/>
      <c r="C17" s="54"/>
      <c r="D17" s="56"/>
      <c r="E17" s="56"/>
      <c r="F17" s="54"/>
      <c r="G17" s="56"/>
      <c r="H17" s="56"/>
      <c r="I17" s="57"/>
      <c r="J17" s="54"/>
      <c r="K17" s="54"/>
      <c r="L17" s="54"/>
      <c r="M17" s="52"/>
    </row>
    <row r="18" spans="1:13" x14ac:dyDescent="0.2">
      <c r="A18" s="49">
        <v>2024</v>
      </c>
      <c r="B18" s="50">
        <v>160</v>
      </c>
      <c r="C18" s="51">
        <v>6</v>
      </c>
      <c r="D18" s="51">
        <v>68</v>
      </c>
      <c r="E18" s="51">
        <v>33</v>
      </c>
      <c r="F18" s="51">
        <v>3714</v>
      </c>
      <c r="G18" s="51">
        <v>205</v>
      </c>
      <c r="H18" s="51">
        <v>105</v>
      </c>
      <c r="I18" s="51">
        <v>7683</v>
      </c>
      <c r="J18" s="51">
        <v>933</v>
      </c>
      <c r="K18" s="51">
        <v>84</v>
      </c>
      <c r="L18" s="51">
        <v>3</v>
      </c>
      <c r="M18" s="51">
        <v>12994</v>
      </c>
    </row>
    <row r="19" spans="1:13" x14ac:dyDescent="0.2">
      <c r="A19" s="19" t="s">
        <v>22</v>
      </c>
      <c r="B19" s="53">
        <v>48</v>
      </c>
      <c r="C19" s="54">
        <v>1</v>
      </c>
      <c r="D19" s="56">
        <v>2</v>
      </c>
      <c r="E19" s="56" t="s">
        <v>25</v>
      </c>
      <c r="F19" s="54">
        <v>668</v>
      </c>
      <c r="G19" s="56">
        <v>35</v>
      </c>
      <c r="H19" s="56">
        <v>11</v>
      </c>
      <c r="I19" s="57">
        <v>2149</v>
      </c>
      <c r="J19" s="54">
        <v>238</v>
      </c>
      <c r="K19" s="54">
        <v>22</v>
      </c>
      <c r="L19" s="54">
        <v>1</v>
      </c>
      <c r="M19" s="52">
        <v>3175</v>
      </c>
    </row>
    <row r="20" spans="1:13" x14ac:dyDescent="0.2">
      <c r="A20" s="19" t="s">
        <v>23</v>
      </c>
      <c r="B20" s="53">
        <v>35</v>
      </c>
      <c r="C20" s="54">
        <v>4</v>
      </c>
      <c r="D20" s="56">
        <v>1</v>
      </c>
      <c r="E20" s="56">
        <v>30</v>
      </c>
      <c r="F20" s="54">
        <v>999</v>
      </c>
      <c r="G20" s="56">
        <v>72</v>
      </c>
      <c r="H20" s="56">
        <v>11</v>
      </c>
      <c r="I20" s="57">
        <v>2006</v>
      </c>
      <c r="J20" s="54">
        <v>209</v>
      </c>
      <c r="K20" s="54">
        <v>15</v>
      </c>
      <c r="L20" s="54">
        <v>1</v>
      </c>
      <c r="M20" s="52">
        <v>3383</v>
      </c>
    </row>
    <row r="21" spans="1:13" x14ac:dyDescent="0.2">
      <c r="A21" s="19" t="s">
        <v>24</v>
      </c>
      <c r="B21" s="53">
        <v>38</v>
      </c>
      <c r="C21" s="54" t="s">
        <v>25</v>
      </c>
      <c r="D21" s="56">
        <v>16</v>
      </c>
      <c r="E21" s="56">
        <v>3</v>
      </c>
      <c r="F21" s="54">
        <v>1047</v>
      </c>
      <c r="G21" s="56">
        <v>52</v>
      </c>
      <c r="H21" s="56">
        <v>56</v>
      </c>
      <c r="I21" s="57">
        <v>1700</v>
      </c>
      <c r="J21" s="54">
        <v>229</v>
      </c>
      <c r="K21" s="54">
        <v>23</v>
      </c>
      <c r="L21" s="54">
        <v>1</v>
      </c>
      <c r="M21" s="52">
        <v>3165</v>
      </c>
    </row>
    <row r="22" spans="1:13" x14ac:dyDescent="0.2">
      <c r="A22" s="19" t="s">
        <v>26</v>
      </c>
      <c r="B22" s="53">
        <v>39</v>
      </c>
      <c r="C22" s="54">
        <v>1</v>
      </c>
      <c r="D22" s="56">
        <v>49</v>
      </c>
      <c r="E22" s="56" t="s">
        <v>25</v>
      </c>
      <c r="F22" s="54">
        <v>1000</v>
      </c>
      <c r="G22" s="56">
        <v>46</v>
      </c>
      <c r="H22" s="56">
        <v>27</v>
      </c>
      <c r="I22" s="57">
        <v>1828</v>
      </c>
      <c r="J22" s="54">
        <v>257</v>
      </c>
      <c r="K22" s="54">
        <v>24</v>
      </c>
      <c r="L22" s="54" t="s">
        <v>25</v>
      </c>
      <c r="M22" s="52">
        <v>3271</v>
      </c>
    </row>
    <row r="23" spans="1:13" s="7" customFormat="1" ht="12" customHeight="1" x14ac:dyDescent="0.2">
      <c r="A23" s="42"/>
      <c r="B23" s="53"/>
      <c r="C23" s="54"/>
      <c r="D23" s="56"/>
      <c r="E23" s="56"/>
      <c r="F23" s="54"/>
      <c r="G23" s="56"/>
      <c r="H23" s="56"/>
      <c r="I23" s="57"/>
      <c r="J23" s="54"/>
      <c r="K23" s="54"/>
      <c r="L23" s="54"/>
      <c r="M23" s="52"/>
    </row>
    <row r="24" spans="1:13" x14ac:dyDescent="0.2">
      <c r="A24" s="49">
        <v>2025</v>
      </c>
      <c r="B24" s="50">
        <v>166</v>
      </c>
      <c r="C24" s="51">
        <v>8</v>
      </c>
      <c r="D24" s="51">
        <v>66</v>
      </c>
      <c r="E24" s="51">
        <v>102</v>
      </c>
      <c r="F24" s="51">
        <v>5405</v>
      </c>
      <c r="G24" s="51">
        <v>134</v>
      </c>
      <c r="H24" s="51">
        <v>12</v>
      </c>
      <c r="I24" s="51">
        <v>6537</v>
      </c>
      <c r="J24" s="51">
        <v>785</v>
      </c>
      <c r="K24" s="51">
        <v>72</v>
      </c>
      <c r="L24" s="51">
        <v>1</v>
      </c>
      <c r="M24" s="51">
        <v>13288</v>
      </c>
    </row>
    <row r="25" spans="1:13" x14ac:dyDescent="0.2">
      <c r="A25" s="19" t="s">
        <v>22</v>
      </c>
      <c r="B25" s="53">
        <v>42</v>
      </c>
      <c r="C25" s="54" t="s">
        <v>25</v>
      </c>
      <c r="D25" s="56">
        <v>9</v>
      </c>
      <c r="E25" s="56" t="s">
        <v>25</v>
      </c>
      <c r="F25" s="54">
        <v>915</v>
      </c>
      <c r="G25" s="56">
        <v>19</v>
      </c>
      <c r="H25" s="56">
        <v>4</v>
      </c>
      <c r="I25" s="57">
        <v>1283</v>
      </c>
      <c r="J25" s="54">
        <v>230</v>
      </c>
      <c r="K25" s="54">
        <v>24</v>
      </c>
      <c r="L25" s="54" t="s">
        <v>25</v>
      </c>
      <c r="M25" s="52">
        <v>2526</v>
      </c>
    </row>
    <row r="26" spans="1:13" x14ac:dyDescent="0.2">
      <c r="A26" s="19" t="s">
        <v>23</v>
      </c>
      <c r="B26" s="53">
        <v>57</v>
      </c>
      <c r="C26" s="54" t="s">
        <v>25</v>
      </c>
      <c r="D26" s="56">
        <v>26</v>
      </c>
      <c r="E26" s="56">
        <v>100</v>
      </c>
      <c r="F26" s="54">
        <v>1481</v>
      </c>
      <c r="G26" s="56">
        <v>29</v>
      </c>
      <c r="H26" s="56">
        <v>3</v>
      </c>
      <c r="I26" s="57">
        <v>1684</v>
      </c>
      <c r="J26" s="54">
        <v>187</v>
      </c>
      <c r="K26" s="54">
        <v>13</v>
      </c>
      <c r="L26" s="54" t="s">
        <v>25</v>
      </c>
      <c r="M26" s="52">
        <v>3580</v>
      </c>
    </row>
    <row r="27" spans="1:13" x14ac:dyDescent="0.2">
      <c r="A27" s="19" t="s">
        <v>24</v>
      </c>
      <c r="B27" s="53">
        <v>49</v>
      </c>
      <c r="C27" s="54">
        <v>4</v>
      </c>
      <c r="D27" s="56">
        <v>16</v>
      </c>
      <c r="E27" s="56">
        <v>2</v>
      </c>
      <c r="F27" s="54">
        <v>1585</v>
      </c>
      <c r="G27" s="56">
        <v>44</v>
      </c>
      <c r="H27" s="56">
        <v>3</v>
      </c>
      <c r="I27" s="57">
        <v>1708</v>
      </c>
      <c r="J27" s="54">
        <v>157</v>
      </c>
      <c r="K27" s="54">
        <v>13</v>
      </c>
      <c r="L27" s="54">
        <v>1</v>
      </c>
      <c r="M27" s="52">
        <v>3582</v>
      </c>
    </row>
    <row r="28" spans="1:13" x14ac:dyDescent="0.2">
      <c r="A28" s="42" t="s">
        <v>26</v>
      </c>
      <c r="B28" s="53">
        <v>18</v>
      </c>
      <c r="C28" s="54">
        <v>4</v>
      </c>
      <c r="D28" s="56">
        <v>15</v>
      </c>
      <c r="E28" s="56" t="s">
        <v>25</v>
      </c>
      <c r="F28" s="54">
        <v>1424</v>
      </c>
      <c r="G28" s="56">
        <v>42</v>
      </c>
      <c r="H28" s="56">
        <v>2</v>
      </c>
      <c r="I28" s="57">
        <v>1862</v>
      </c>
      <c r="J28" s="54">
        <v>211</v>
      </c>
      <c r="K28" s="54">
        <v>22</v>
      </c>
      <c r="L28" s="54" t="s">
        <v>25</v>
      </c>
      <c r="M28" s="52">
        <v>3600</v>
      </c>
    </row>
    <row r="29" spans="1:13" s="7" customFormat="1" ht="4.9000000000000004" customHeight="1" x14ac:dyDescent="0.2">
      <c r="A29" s="59"/>
      <c r="B29" s="60"/>
      <c r="C29" s="61"/>
      <c r="D29" s="62"/>
      <c r="E29" s="62"/>
      <c r="F29" s="62"/>
      <c r="G29" s="62"/>
      <c r="H29" s="62"/>
      <c r="I29" s="63"/>
      <c r="J29" s="62"/>
      <c r="K29" s="62"/>
      <c r="L29" s="62"/>
      <c r="M29" s="64"/>
    </row>
    <row r="30" spans="1:13" s="7" customFormat="1" ht="5.0999999999999996" customHeight="1" x14ac:dyDescent="0.2">
      <c r="A30" s="49"/>
      <c r="B30" s="73"/>
      <c r="C30" s="74"/>
      <c r="D30" s="73"/>
      <c r="E30" s="73"/>
      <c r="F30" s="73"/>
      <c r="G30" s="73"/>
      <c r="H30" s="73"/>
      <c r="I30" s="75"/>
      <c r="J30" s="73"/>
      <c r="K30" s="73"/>
      <c r="L30" s="73"/>
      <c r="M30" s="76"/>
    </row>
    <row r="31" spans="1:13" s="7" customFormat="1" ht="12.6" customHeight="1" x14ac:dyDescent="0.2">
      <c r="A31" s="48"/>
      <c r="B31" s="2"/>
      <c r="C31" s="2"/>
      <c r="D31" s="2"/>
      <c r="E31" s="2"/>
      <c r="F31" s="2"/>
      <c r="G31" s="67"/>
      <c r="H31" s="77"/>
      <c r="I31" s="73"/>
      <c r="J31" s="73"/>
      <c r="K31" s="73"/>
      <c r="L31" s="76"/>
    </row>
    <row r="32" spans="1:13" s="7" customFormat="1" ht="12.6" customHeight="1" x14ac:dyDescent="0.2">
      <c r="A32" s="48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</row>
    <row r="33" spans="2:13" x14ac:dyDescent="0.2"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</row>
    <row r="34" spans="2:13" x14ac:dyDescent="0.2"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</row>
    <row r="35" spans="2:13" x14ac:dyDescent="0.2"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</row>
    <row r="36" spans="2:13" x14ac:dyDescent="0.2">
      <c r="L36" s="2"/>
    </row>
  </sheetData>
  <mergeCells count="14">
    <mergeCell ref="J3:J5"/>
    <mergeCell ref="K3:K5"/>
    <mergeCell ref="L3:L5"/>
    <mergeCell ref="M3:M5"/>
    <mergeCell ref="A1:L1"/>
    <mergeCell ref="A3:A5"/>
    <mergeCell ref="B3:B5"/>
    <mergeCell ref="C3:C5"/>
    <mergeCell ref="D3:D5"/>
    <mergeCell ref="E3:E5"/>
    <mergeCell ref="F3:F5"/>
    <mergeCell ref="G3:G5"/>
    <mergeCell ref="H3:H5"/>
    <mergeCell ref="I3:I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CF3E3-D7CD-4C06-9245-C16CB42C4FC2}">
  <dimension ref="A1:AP41"/>
  <sheetViews>
    <sheetView workbookViewId="0">
      <selection activeCell="A2" sqref="A2"/>
    </sheetView>
  </sheetViews>
  <sheetFormatPr defaultColWidth="9.140625" defaultRowHeight="12" x14ac:dyDescent="0.2"/>
  <cols>
    <col min="1" max="11" width="8.28515625" style="2" customWidth="1"/>
    <col min="12" max="12" width="8.28515625" style="3" customWidth="1"/>
    <col min="13" max="16384" width="9.140625" style="2"/>
  </cols>
  <sheetData>
    <row r="1" spans="1:42" ht="12" customHeight="1" x14ac:dyDescent="0.2">
      <c r="A1" s="134" t="s">
        <v>42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</row>
    <row r="2" spans="1:42" ht="8.1" customHeight="1" x14ac:dyDescent="0.2">
      <c r="E2" s="78"/>
    </row>
    <row r="3" spans="1:42" s="5" customFormat="1" ht="35.25" customHeight="1" x14ac:dyDescent="0.2">
      <c r="A3" s="167" t="s">
        <v>1</v>
      </c>
      <c r="B3" s="161" t="s">
        <v>28</v>
      </c>
      <c r="C3" s="155" t="s">
        <v>29</v>
      </c>
      <c r="D3" s="155" t="s">
        <v>30</v>
      </c>
      <c r="E3" s="155" t="s">
        <v>31</v>
      </c>
      <c r="F3" s="155" t="s">
        <v>32</v>
      </c>
      <c r="G3" s="155" t="s">
        <v>33</v>
      </c>
      <c r="H3" s="155" t="s">
        <v>34</v>
      </c>
      <c r="I3" s="155" t="s">
        <v>35</v>
      </c>
      <c r="J3" s="155" t="s">
        <v>36</v>
      </c>
      <c r="K3" s="155" t="s">
        <v>37</v>
      </c>
      <c r="L3" s="155" t="s">
        <v>38</v>
      </c>
      <c r="M3" s="155" t="s">
        <v>39</v>
      </c>
    </row>
    <row r="4" spans="1:42" s="5" customFormat="1" ht="35.25" customHeight="1" x14ac:dyDescent="0.2">
      <c r="A4" s="168"/>
      <c r="B4" s="162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</row>
    <row r="5" spans="1:42" s="5" customFormat="1" ht="41.25" customHeight="1" x14ac:dyDescent="0.2">
      <c r="A5" s="169"/>
      <c r="B5" s="163"/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157"/>
      <c r="S5" s="2"/>
      <c r="T5" s="2"/>
      <c r="U5" s="2"/>
      <c r="V5" s="2"/>
      <c r="W5" s="2"/>
      <c r="X5" s="3"/>
      <c r="Y5" s="2"/>
      <c r="Z5" s="2"/>
      <c r="AA5" s="2"/>
      <c r="AB5" s="2"/>
      <c r="AC5" s="2"/>
      <c r="AD5" s="2"/>
    </row>
    <row r="6" spans="1:42" s="37" customFormat="1" ht="12" customHeight="1" x14ac:dyDescent="0.2">
      <c r="A6" s="49">
        <v>2022</v>
      </c>
      <c r="B6" s="50">
        <v>86</v>
      </c>
      <c r="C6" s="51">
        <v>5</v>
      </c>
      <c r="D6" s="51">
        <v>5</v>
      </c>
      <c r="E6" s="51" t="s">
        <v>25</v>
      </c>
      <c r="F6" s="51">
        <v>301</v>
      </c>
      <c r="G6" s="51">
        <v>2</v>
      </c>
      <c r="H6" s="51">
        <v>14</v>
      </c>
      <c r="I6" s="51">
        <v>5899</v>
      </c>
      <c r="J6" s="51">
        <v>1202</v>
      </c>
      <c r="K6" s="51">
        <v>157</v>
      </c>
      <c r="L6" s="51">
        <v>31</v>
      </c>
      <c r="M6" s="52">
        <v>7702</v>
      </c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2"/>
      <c r="AA6" s="2"/>
      <c r="AB6" s="3"/>
      <c r="AC6" s="2"/>
      <c r="AD6" s="2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79"/>
    </row>
    <row r="7" spans="1:42" s="7" customFormat="1" ht="12" customHeight="1" x14ac:dyDescent="0.2">
      <c r="A7" s="42" t="s">
        <v>22</v>
      </c>
      <c r="B7" s="53">
        <v>24</v>
      </c>
      <c r="C7" s="54" t="s">
        <v>25</v>
      </c>
      <c r="D7" s="54">
        <v>1</v>
      </c>
      <c r="E7" s="54" t="s">
        <v>25</v>
      </c>
      <c r="F7" s="54">
        <v>83</v>
      </c>
      <c r="G7" s="54" t="s">
        <v>25</v>
      </c>
      <c r="H7" s="54">
        <v>7</v>
      </c>
      <c r="I7" s="54">
        <v>1509</v>
      </c>
      <c r="J7" s="54">
        <v>277</v>
      </c>
      <c r="K7" s="54">
        <v>39</v>
      </c>
      <c r="L7" s="54">
        <v>8</v>
      </c>
      <c r="M7" s="52">
        <v>1948</v>
      </c>
      <c r="N7" s="66"/>
      <c r="O7" s="71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3"/>
      <c r="AC7" s="2"/>
      <c r="AD7" s="2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</row>
    <row r="8" spans="1:42" s="7" customFormat="1" ht="12" customHeight="1" x14ac:dyDescent="0.2">
      <c r="A8" s="42" t="s">
        <v>23</v>
      </c>
      <c r="B8" s="53">
        <v>18</v>
      </c>
      <c r="C8" s="54">
        <v>2</v>
      </c>
      <c r="D8" s="54">
        <v>1</v>
      </c>
      <c r="E8" s="54" t="s">
        <v>25</v>
      </c>
      <c r="F8" s="54">
        <v>81</v>
      </c>
      <c r="G8" s="54">
        <v>1</v>
      </c>
      <c r="H8" s="54">
        <v>4</v>
      </c>
      <c r="I8" s="54">
        <v>1531</v>
      </c>
      <c r="J8" s="54">
        <v>310</v>
      </c>
      <c r="K8" s="54">
        <v>44</v>
      </c>
      <c r="L8" s="54">
        <v>5</v>
      </c>
      <c r="M8" s="52">
        <v>1997</v>
      </c>
      <c r="N8" s="66"/>
      <c r="O8" s="71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3"/>
      <c r="AC8" s="2"/>
      <c r="AD8" s="2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</row>
    <row r="9" spans="1:42" s="7" customFormat="1" ht="12" customHeight="1" x14ac:dyDescent="0.2">
      <c r="A9" s="42" t="s">
        <v>24</v>
      </c>
      <c r="B9" s="53">
        <v>16</v>
      </c>
      <c r="C9" s="54">
        <v>1</v>
      </c>
      <c r="D9" s="54">
        <v>1</v>
      </c>
      <c r="E9" s="54" t="s">
        <v>25</v>
      </c>
      <c r="F9" s="54">
        <v>71</v>
      </c>
      <c r="G9" s="54" t="s">
        <v>25</v>
      </c>
      <c r="H9" s="54">
        <v>1</v>
      </c>
      <c r="I9" s="54">
        <v>1552</v>
      </c>
      <c r="J9" s="54">
        <v>281</v>
      </c>
      <c r="K9" s="54">
        <v>29</v>
      </c>
      <c r="L9" s="54">
        <v>10</v>
      </c>
      <c r="M9" s="52">
        <v>1962</v>
      </c>
      <c r="N9" s="66"/>
      <c r="O9" s="71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3"/>
      <c r="AC9" s="2"/>
      <c r="AD9" s="2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</row>
    <row r="10" spans="1:42" s="7" customFormat="1" ht="12" customHeight="1" x14ac:dyDescent="0.2">
      <c r="A10" s="42" t="s">
        <v>26</v>
      </c>
      <c r="B10" s="53">
        <v>28</v>
      </c>
      <c r="C10" s="54">
        <v>2</v>
      </c>
      <c r="D10" s="54">
        <v>2</v>
      </c>
      <c r="E10" s="54" t="s">
        <v>25</v>
      </c>
      <c r="F10" s="54">
        <v>66</v>
      </c>
      <c r="G10" s="54">
        <v>1</v>
      </c>
      <c r="H10" s="54">
        <v>2</v>
      </c>
      <c r="I10" s="54">
        <v>1307</v>
      </c>
      <c r="J10" s="54">
        <v>334</v>
      </c>
      <c r="K10" s="54">
        <v>45</v>
      </c>
      <c r="L10" s="54">
        <v>8</v>
      </c>
      <c r="M10" s="52">
        <v>1795</v>
      </c>
      <c r="N10" s="66"/>
      <c r="O10" s="71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3"/>
      <c r="AC10" s="2"/>
      <c r="AD10" s="2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79"/>
    </row>
    <row r="11" spans="1:42" s="7" customFormat="1" ht="12" customHeight="1" x14ac:dyDescent="0.2">
      <c r="A11" s="67"/>
      <c r="B11" s="53"/>
      <c r="C11" s="54"/>
      <c r="D11" s="54"/>
      <c r="E11" s="54"/>
      <c r="F11" s="54"/>
      <c r="G11" s="54"/>
      <c r="H11" s="54"/>
      <c r="I11" s="55"/>
      <c r="J11" s="54"/>
      <c r="K11" s="54"/>
      <c r="L11" s="54"/>
      <c r="M11" s="52"/>
      <c r="N11" s="66"/>
      <c r="O11" s="71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80"/>
      <c r="AA11" s="80"/>
    </row>
    <row r="12" spans="1:42" s="37" customFormat="1" ht="12" customHeight="1" x14ac:dyDescent="0.2">
      <c r="A12" s="49">
        <v>2023</v>
      </c>
      <c r="B12" s="50">
        <v>103</v>
      </c>
      <c r="C12" s="51">
        <v>10</v>
      </c>
      <c r="D12" s="51">
        <v>14</v>
      </c>
      <c r="E12" s="51" t="s">
        <v>25</v>
      </c>
      <c r="F12" s="51">
        <v>320</v>
      </c>
      <c r="G12" s="51" t="s">
        <v>25</v>
      </c>
      <c r="H12" s="51">
        <v>4</v>
      </c>
      <c r="I12" s="51">
        <v>6968</v>
      </c>
      <c r="J12" s="51">
        <v>1611</v>
      </c>
      <c r="K12" s="51">
        <v>265</v>
      </c>
      <c r="L12" s="51">
        <v>45</v>
      </c>
      <c r="M12" s="52">
        <v>9340</v>
      </c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2"/>
      <c r="AA12" s="2"/>
      <c r="AB12" s="3"/>
      <c r="AC12" s="2"/>
      <c r="AD12" s="2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79"/>
    </row>
    <row r="13" spans="1:42" s="7" customFormat="1" ht="12" customHeight="1" x14ac:dyDescent="0.2">
      <c r="A13" s="42" t="s">
        <v>22</v>
      </c>
      <c r="B13" s="53">
        <v>31</v>
      </c>
      <c r="C13" s="54">
        <v>2</v>
      </c>
      <c r="D13" s="54">
        <v>1</v>
      </c>
      <c r="E13" s="54" t="s">
        <v>25</v>
      </c>
      <c r="F13" s="54">
        <v>79</v>
      </c>
      <c r="G13" s="54" t="s">
        <v>25</v>
      </c>
      <c r="H13" s="54">
        <v>1</v>
      </c>
      <c r="I13" s="54">
        <v>1438</v>
      </c>
      <c r="J13" s="54">
        <v>312</v>
      </c>
      <c r="K13" s="54">
        <v>54</v>
      </c>
      <c r="L13" s="54">
        <v>8</v>
      </c>
      <c r="M13" s="52">
        <v>1926</v>
      </c>
      <c r="N13" s="66"/>
      <c r="O13" s="71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3"/>
      <c r="AC13" s="2"/>
      <c r="AD13" s="2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</row>
    <row r="14" spans="1:42" s="7" customFormat="1" ht="12" customHeight="1" x14ac:dyDescent="0.2">
      <c r="A14" s="19" t="s">
        <v>23</v>
      </c>
      <c r="B14" s="54">
        <v>39</v>
      </c>
      <c r="C14" s="54">
        <v>3</v>
      </c>
      <c r="D14" s="54">
        <v>4</v>
      </c>
      <c r="E14" s="56" t="s">
        <v>25</v>
      </c>
      <c r="F14" s="54">
        <v>92</v>
      </c>
      <c r="G14" s="54" t="s">
        <v>25</v>
      </c>
      <c r="H14" s="54">
        <v>1</v>
      </c>
      <c r="I14" s="57">
        <v>1775</v>
      </c>
      <c r="J14" s="54">
        <v>469</v>
      </c>
      <c r="K14" s="54">
        <v>74</v>
      </c>
      <c r="L14" s="54">
        <v>10</v>
      </c>
      <c r="M14" s="52">
        <v>2467</v>
      </c>
      <c r="N14" s="66"/>
      <c r="O14" s="71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3"/>
      <c r="AC14" s="2"/>
      <c r="AD14" s="2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</row>
    <row r="15" spans="1:42" s="7" customFormat="1" ht="12" customHeight="1" x14ac:dyDescent="0.2">
      <c r="A15" s="19" t="s">
        <v>24</v>
      </c>
      <c r="B15" s="54">
        <v>21</v>
      </c>
      <c r="C15" s="54">
        <v>4</v>
      </c>
      <c r="D15" s="54">
        <v>6</v>
      </c>
      <c r="E15" s="56" t="s">
        <v>25</v>
      </c>
      <c r="F15" s="54">
        <v>68</v>
      </c>
      <c r="G15" s="56" t="s">
        <v>25</v>
      </c>
      <c r="H15" s="54">
        <v>1</v>
      </c>
      <c r="I15" s="57">
        <v>1978</v>
      </c>
      <c r="J15" s="54">
        <v>379</v>
      </c>
      <c r="K15" s="54">
        <v>70</v>
      </c>
      <c r="L15" s="54">
        <v>17</v>
      </c>
      <c r="M15" s="52">
        <v>2544</v>
      </c>
      <c r="N15" s="66"/>
      <c r="O15" s="71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3"/>
      <c r="AC15" s="2"/>
      <c r="AD15" s="2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</row>
    <row r="16" spans="1:42" s="7" customFormat="1" ht="12" customHeight="1" x14ac:dyDescent="0.2">
      <c r="A16" s="42" t="s">
        <v>26</v>
      </c>
      <c r="B16" s="53">
        <v>12</v>
      </c>
      <c r="C16" s="54">
        <v>1</v>
      </c>
      <c r="D16" s="56">
        <v>3</v>
      </c>
      <c r="E16" s="56" t="s">
        <v>25</v>
      </c>
      <c r="F16" s="54">
        <v>81</v>
      </c>
      <c r="G16" s="56" t="s">
        <v>25</v>
      </c>
      <c r="H16" s="56">
        <v>1</v>
      </c>
      <c r="I16" s="57">
        <v>1777</v>
      </c>
      <c r="J16" s="54">
        <v>451</v>
      </c>
      <c r="K16" s="54">
        <v>67</v>
      </c>
      <c r="L16" s="54">
        <v>10</v>
      </c>
      <c r="M16" s="52">
        <v>2403</v>
      </c>
      <c r="N16" s="66"/>
      <c r="O16" s="71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3"/>
      <c r="AC16" s="2"/>
      <c r="AD16" s="2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</row>
    <row r="17" spans="1:42" s="7" customFormat="1" ht="12" customHeight="1" x14ac:dyDescent="0.2">
      <c r="A17" s="42"/>
      <c r="B17" s="53"/>
      <c r="C17" s="54"/>
      <c r="D17" s="56"/>
      <c r="E17" s="56"/>
      <c r="F17" s="54"/>
      <c r="G17" s="56"/>
      <c r="H17" s="56"/>
      <c r="I17" s="57"/>
      <c r="J17" s="54"/>
      <c r="K17" s="54"/>
      <c r="L17" s="54"/>
      <c r="M17" s="52"/>
      <c r="N17" s="66"/>
      <c r="O17" s="71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80"/>
    </row>
    <row r="18" spans="1:42" s="7" customFormat="1" ht="12" customHeight="1" x14ac:dyDescent="0.2">
      <c r="A18" s="49">
        <v>2024</v>
      </c>
      <c r="B18" s="50">
        <v>72</v>
      </c>
      <c r="C18" s="51">
        <v>16</v>
      </c>
      <c r="D18" s="51">
        <v>27</v>
      </c>
      <c r="E18" s="51">
        <v>26</v>
      </c>
      <c r="F18" s="51">
        <v>292</v>
      </c>
      <c r="G18" s="51" t="s">
        <v>25</v>
      </c>
      <c r="H18" s="51">
        <v>2</v>
      </c>
      <c r="I18" s="51">
        <v>7388</v>
      </c>
      <c r="J18" s="51">
        <v>1515</v>
      </c>
      <c r="K18" s="51">
        <v>257</v>
      </c>
      <c r="L18" s="51">
        <v>45</v>
      </c>
      <c r="M18" s="51">
        <v>9640</v>
      </c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</row>
    <row r="19" spans="1:42" s="7" customFormat="1" ht="12" customHeight="1" x14ac:dyDescent="0.2">
      <c r="A19" s="42" t="s">
        <v>22</v>
      </c>
      <c r="B19" s="53">
        <v>17</v>
      </c>
      <c r="C19" s="54">
        <v>5</v>
      </c>
      <c r="D19" s="56">
        <v>4</v>
      </c>
      <c r="E19" s="56" t="s">
        <v>25</v>
      </c>
      <c r="F19" s="54">
        <v>66</v>
      </c>
      <c r="G19" s="56" t="s">
        <v>25</v>
      </c>
      <c r="H19" s="56" t="s">
        <v>25</v>
      </c>
      <c r="I19" s="57">
        <v>1927</v>
      </c>
      <c r="J19" s="54">
        <v>364</v>
      </c>
      <c r="K19" s="54">
        <v>64</v>
      </c>
      <c r="L19" s="54">
        <v>15</v>
      </c>
      <c r="M19" s="52">
        <v>2462</v>
      </c>
      <c r="N19" s="66"/>
      <c r="O19" s="71"/>
      <c r="P19" s="66"/>
      <c r="Q19" s="66"/>
      <c r="S19" s="2"/>
      <c r="T19" s="2"/>
      <c r="U19" s="2"/>
      <c r="V19" s="2"/>
      <c r="W19" s="2"/>
      <c r="X19" s="2"/>
      <c r="Y19" s="3"/>
      <c r="Z19" s="2"/>
      <c r="AA19" s="2"/>
      <c r="AB19" s="2"/>
      <c r="AC19" s="2"/>
      <c r="AD19" s="2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</row>
    <row r="20" spans="1:42" s="7" customFormat="1" ht="12" customHeight="1" x14ac:dyDescent="0.2">
      <c r="A20" s="42" t="s">
        <v>23</v>
      </c>
      <c r="B20" s="53">
        <v>14</v>
      </c>
      <c r="C20" s="54">
        <v>4</v>
      </c>
      <c r="D20" s="56">
        <v>4</v>
      </c>
      <c r="E20" s="56" t="s">
        <v>25</v>
      </c>
      <c r="F20" s="54">
        <v>77</v>
      </c>
      <c r="G20" s="56" t="s">
        <v>25</v>
      </c>
      <c r="H20" s="56" t="s">
        <v>25</v>
      </c>
      <c r="I20" s="57">
        <v>1830</v>
      </c>
      <c r="J20" s="54">
        <v>329</v>
      </c>
      <c r="K20" s="54">
        <v>77</v>
      </c>
      <c r="L20" s="54">
        <v>8</v>
      </c>
      <c r="M20" s="52">
        <v>2343</v>
      </c>
      <c r="N20" s="66"/>
      <c r="O20" s="71"/>
      <c r="P20" s="66"/>
      <c r="Q20" s="66"/>
      <c r="S20" s="2"/>
      <c r="T20" s="2"/>
      <c r="U20" s="2"/>
      <c r="V20" s="2"/>
      <c r="W20" s="2"/>
      <c r="X20" s="3"/>
      <c r="Y20" s="2"/>
      <c r="Z20" s="2"/>
      <c r="AA20" s="2"/>
      <c r="AB20" s="2"/>
      <c r="AC20" s="2"/>
      <c r="AD20" s="2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</row>
    <row r="21" spans="1:42" s="7" customFormat="1" ht="12" customHeight="1" x14ac:dyDescent="0.2">
      <c r="A21" s="42" t="s">
        <v>24</v>
      </c>
      <c r="B21" s="53">
        <v>19</v>
      </c>
      <c r="C21" s="54">
        <v>3</v>
      </c>
      <c r="D21" s="56">
        <v>13</v>
      </c>
      <c r="E21" s="56" t="s">
        <v>25</v>
      </c>
      <c r="F21" s="54">
        <v>67</v>
      </c>
      <c r="G21" s="56" t="s">
        <v>25</v>
      </c>
      <c r="H21" s="56">
        <v>1</v>
      </c>
      <c r="I21" s="57">
        <v>1879</v>
      </c>
      <c r="J21" s="54">
        <v>407</v>
      </c>
      <c r="K21" s="54">
        <v>56</v>
      </c>
      <c r="L21" s="54">
        <v>11</v>
      </c>
      <c r="M21" s="52">
        <v>2456</v>
      </c>
      <c r="N21" s="66"/>
      <c r="O21" s="71"/>
      <c r="P21" s="66"/>
      <c r="Q21" s="66"/>
      <c r="S21" s="2"/>
      <c r="T21" s="2"/>
      <c r="U21" s="2"/>
      <c r="V21" s="2"/>
      <c r="W21" s="2"/>
      <c r="X21" s="3"/>
      <c r="Y21" s="2"/>
      <c r="Z21" s="2"/>
      <c r="AA21" s="2"/>
      <c r="AB21" s="2"/>
      <c r="AC21" s="2"/>
      <c r="AD21" s="2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</row>
    <row r="22" spans="1:42" s="7" customFormat="1" ht="12" customHeight="1" x14ac:dyDescent="0.2">
      <c r="A22" s="42" t="s">
        <v>26</v>
      </c>
      <c r="B22" s="53">
        <v>22</v>
      </c>
      <c r="C22" s="54">
        <v>4</v>
      </c>
      <c r="D22" s="56">
        <v>6</v>
      </c>
      <c r="E22" s="56">
        <v>26</v>
      </c>
      <c r="F22" s="54">
        <v>82</v>
      </c>
      <c r="G22" s="56" t="s">
        <v>25</v>
      </c>
      <c r="H22" s="56">
        <v>1</v>
      </c>
      <c r="I22" s="57">
        <v>1752</v>
      </c>
      <c r="J22" s="54">
        <v>415</v>
      </c>
      <c r="K22" s="54">
        <v>60</v>
      </c>
      <c r="L22" s="54">
        <v>11</v>
      </c>
      <c r="M22" s="52">
        <v>2379</v>
      </c>
      <c r="N22" s="66"/>
      <c r="O22" s="71"/>
      <c r="P22" s="66"/>
      <c r="Q22" s="66"/>
      <c r="S22" s="2"/>
      <c r="T22" s="2"/>
      <c r="U22" s="2"/>
      <c r="V22" s="2"/>
      <c r="W22" s="2"/>
      <c r="X22" s="3"/>
      <c r="Y22" s="2"/>
      <c r="Z22" s="2"/>
      <c r="AA22" s="2"/>
      <c r="AB22" s="2"/>
      <c r="AC22" s="2"/>
      <c r="AD22" s="2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</row>
    <row r="23" spans="1:42" s="7" customFormat="1" ht="12" customHeight="1" x14ac:dyDescent="0.2">
      <c r="A23" s="42"/>
      <c r="B23" s="53"/>
      <c r="C23" s="54"/>
      <c r="D23" s="56"/>
      <c r="E23" s="56"/>
      <c r="F23" s="54"/>
      <c r="G23" s="56"/>
      <c r="H23" s="56"/>
      <c r="I23" s="57"/>
      <c r="J23" s="54"/>
      <c r="K23" s="54"/>
      <c r="L23" s="54"/>
      <c r="M23" s="52"/>
      <c r="N23" s="66"/>
      <c r="O23" s="71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80"/>
    </row>
    <row r="24" spans="1:42" s="7" customFormat="1" ht="12" customHeight="1" x14ac:dyDescent="0.2">
      <c r="A24" s="49">
        <v>2025</v>
      </c>
      <c r="B24" s="50">
        <v>107</v>
      </c>
      <c r="C24" s="51">
        <v>17</v>
      </c>
      <c r="D24" s="51">
        <v>45</v>
      </c>
      <c r="E24" s="51">
        <v>5</v>
      </c>
      <c r="F24" s="51">
        <v>319</v>
      </c>
      <c r="G24" s="51" t="s">
        <v>25</v>
      </c>
      <c r="H24" s="51">
        <v>5</v>
      </c>
      <c r="I24" s="51">
        <v>7567</v>
      </c>
      <c r="J24" s="51">
        <v>1561</v>
      </c>
      <c r="K24" s="51">
        <v>239</v>
      </c>
      <c r="L24" s="51">
        <v>69</v>
      </c>
      <c r="M24" s="51">
        <v>9934</v>
      </c>
      <c r="N24" s="66"/>
      <c r="O24" s="71"/>
      <c r="P24" s="66"/>
      <c r="Q24" s="66"/>
      <c r="R24" s="66"/>
    </row>
    <row r="25" spans="1:42" s="7" customFormat="1" ht="12" customHeight="1" x14ac:dyDescent="0.2">
      <c r="A25" s="42" t="s">
        <v>22</v>
      </c>
      <c r="B25" s="53">
        <v>15</v>
      </c>
      <c r="C25" s="54">
        <v>1</v>
      </c>
      <c r="D25" s="56">
        <v>10</v>
      </c>
      <c r="E25" s="56" t="s">
        <v>25</v>
      </c>
      <c r="F25" s="54">
        <v>85</v>
      </c>
      <c r="G25" s="56" t="s">
        <v>25</v>
      </c>
      <c r="H25" s="56" t="s">
        <v>25</v>
      </c>
      <c r="I25" s="57">
        <v>1829</v>
      </c>
      <c r="J25" s="54">
        <v>374</v>
      </c>
      <c r="K25" s="54">
        <v>64</v>
      </c>
      <c r="L25" s="54">
        <v>20</v>
      </c>
      <c r="M25" s="52">
        <v>2398</v>
      </c>
      <c r="N25" s="66"/>
      <c r="O25" s="71"/>
      <c r="P25" s="66"/>
      <c r="Q25" s="66"/>
      <c r="S25" s="2"/>
      <c r="T25" s="2"/>
      <c r="U25" s="2"/>
      <c r="V25" s="2"/>
      <c r="W25" s="2"/>
      <c r="X25" s="2"/>
      <c r="Y25" s="3"/>
      <c r="Z25" s="2"/>
      <c r="AA25" s="2"/>
      <c r="AB25" s="2"/>
      <c r="AC25" s="2"/>
      <c r="AD25" s="2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</row>
    <row r="26" spans="1:42" s="7" customFormat="1" ht="12" customHeight="1" x14ac:dyDescent="0.2">
      <c r="A26" s="42" t="s">
        <v>23</v>
      </c>
      <c r="B26" s="53">
        <v>29</v>
      </c>
      <c r="C26" s="54">
        <v>6</v>
      </c>
      <c r="D26" s="56">
        <v>6</v>
      </c>
      <c r="E26" s="56" t="s">
        <v>25</v>
      </c>
      <c r="F26" s="54">
        <v>78</v>
      </c>
      <c r="G26" s="56" t="s">
        <v>25</v>
      </c>
      <c r="H26" s="56" t="s">
        <v>25</v>
      </c>
      <c r="I26" s="57">
        <v>1871</v>
      </c>
      <c r="J26" s="54">
        <v>395</v>
      </c>
      <c r="K26" s="54">
        <v>54</v>
      </c>
      <c r="L26" s="54">
        <v>12</v>
      </c>
      <c r="M26" s="52">
        <v>2451</v>
      </c>
      <c r="N26" s="79"/>
      <c r="O26" s="71"/>
      <c r="P26" s="66"/>
      <c r="Q26" s="66"/>
      <c r="S26" s="2"/>
      <c r="T26" s="2"/>
      <c r="U26" s="2"/>
      <c r="V26" s="2"/>
      <c r="W26" s="2"/>
      <c r="X26" s="2"/>
      <c r="Y26" s="3"/>
      <c r="Z26" s="2"/>
      <c r="AA26" s="2"/>
      <c r="AB26" s="2"/>
      <c r="AC26" s="2"/>
      <c r="AD26" s="2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79"/>
    </row>
    <row r="27" spans="1:42" s="7" customFormat="1" ht="12" customHeight="1" x14ac:dyDescent="0.2">
      <c r="A27" s="42" t="s">
        <v>24</v>
      </c>
      <c r="B27" s="53">
        <v>31</v>
      </c>
      <c r="C27" s="54">
        <v>4</v>
      </c>
      <c r="D27" s="56">
        <v>11</v>
      </c>
      <c r="E27" s="56">
        <v>5</v>
      </c>
      <c r="F27" s="54">
        <v>79</v>
      </c>
      <c r="G27" s="56" t="s">
        <v>25</v>
      </c>
      <c r="H27" s="56">
        <v>2</v>
      </c>
      <c r="I27" s="57">
        <v>1975</v>
      </c>
      <c r="J27" s="54">
        <v>382</v>
      </c>
      <c r="K27" s="54">
        <v>51</v>
      </c>
      <c r="L27" s="54">
        <v>21</v>
      </c>
      <c r="M27" s="52">
        <v>2561</v>
      </c>
      <c r="N27" s="79"/>
      <c r="O27" s="71"/>
      <c r="P27" s="66"/>
      <c r="Q27" s="66"/>
      <c r="S27" s="2"/>
      <c r="T27" s="2"/>
      <c r="U27" s="2"/>
      <c r="V27" s="2"/>
      <c r="W27" s="2"/>
      <c r="X27" s="2"/>
      <c r="Y27" s="3"/>
      <c r="Z27" s="2"/>
      <c r="AA27" s="2"/>
      <c r="AB27" s="2"/>
      <c r="AC27" s="2"/>
      <c r="AD27" s="2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79"/>
    </row>
    <row r="28" spans="1:42" s="7" customFormat="1" ht="12" customHeight="1" x14ac:dyDescent="0.2">
      <c r="A28" s="42" t="s">
        <v>26</v>
      </c>
      <c r="B28" s="53">
        <v>32</v>
      </c>
      <c r="C28" s="54">
        <v>6</v>
      </c>
      <c r="D28" s="56">
        <v>18</v>
      </c>
      <c r="E28" s="56" t="s">
        <v>25</v>
      </c>
      <c r="F28" s="54">
        <v>77</v>
      </c>
      <c r="G28" s="56" t="s">
        <v>25</v>
      </c>
      <c r="H28" s="56">
        <v>3</v>
      </c>
      <c r="I28" s="57">
        <v>1892</v>
      </c>
      <c r="J28" s="54">
        <v>410</v>
      </c>
      <c r="K28" s="54">
        <v>70</v>
      </c>
      <c r="L28" s="54">
        <v>16</v>
      </c>
      <c r="M28" s="52">
        <v>2524</v>
      </c>
      <c r="N28" s="79"/>
      <c r="O28" s="71"/>
      <c r="P28" s="66"/>
      <c r="Q28" s="66"/>
      <c r="S28" s="2"/>
      <c r="T28" s="2"/>
      <c r="U28" s="2"/>
      <c r="V28" s="2"/>
      <c r="W28" s="2"/>
      <c r="X28" s="2"/>
      <c r="Y28" s="3"/>
      <c r="Z28" s="2"/>
      <c r="AA28" s="2"/>
      <c r="AB28" s="2"/>
      <c r="AC28" s="2"/>
      <c r="AD28" s="2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79"/>
    </row>
    <row r="29" spans="1:42" s="7" customFormat="1" ht="6.95" customHeight="1" x14ac:dyDescent="0.2">
      <c r="A29" s="81"/>
      <c r="B29" s="60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4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79"/>
    </row>
    <row r="30" spans="1:42" s="7" customFormat="1" ht="4.5" customHeight="1" x14ac:dyDescent="0.2">
      <c r="A30" s="42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51"/>
      <c r="N30" s="66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79"/>
    </row>
    <row r="31" spans="1:42" s="7" customFormat="1" ht="12" customHeight="1" x14ac:dyDescent="0.2">
      <c r="A31" s="48"/>
      <c r="B31" s="2"/>
      <c r="C31" s="2"/>
      <c r="D31" s="2"/>
      <c r="E31" s="2"/>
      <c r="F31" s="2"/>
      <c r="G31" s="67"/>
      <c r="H31" s="67"/>
      <c r="I31" s="73"/>
      <c r="J31" s="73"/>
      <c r="K31" s="73"/>
      <c r="L31" s="76"/>
      <c r="N31" s="66"/>
    </row>
    <row r="32" spans="1:42" s="7" customFormat="1" ht="12" customHeight="1" x14ac:dyDescent="0.2">
      <c r="A32" s="70"/>
      <c r="B32" s="2"/>
      <c r="C32" s="2"/>
      <c r="D32" s="2"/>
      <c r="E32" s="2"/>
      <c r="F32" s="2"/>
      <c r="G32" s="67"/>
      <c r="H32" s="67"/>
      <c r="I32" s="73"/>
      <c r="J32" s="73"/>
      <c r="K32" s="73"/>
      <c r="L32" s="76"/>
      <c r="N32" s="66"/>
    </row>
    <row r="33" spans="2:12" x14ac:dyDescent="0.2">
      <c r="L33" s="2"/>
    </row>
    <row r="34" spans="2:12" x14ac:dyDescent="0.2"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</row>
    <row r="35" spans="2:12" x14ac:dyDescent="0.2">
      <c r="L35" s="2"/>
    </row>
    <row r="36" spans="2:12" x14ac:dyDescent="0.2">
      <c r="L36" s="2"/>
    </row>
    <row r="37" spans="2:12" x14ac:dyDescent="0.2">
      <c r="L37" s="2"/>
    </row>
    <row r="38" spans="2:12" x14ac:dyDescent="0.2">
      <c r="L38" s="2"/>
    </row>
    <row r="39" spans="2:12" x14ac:dyDescent="0.2">
      <c r="L39" s="2"/>
    </row>
    <row r="40" spans="2:12" x14ac:dyDescent="0.2">
      <c r="L40" s="2"/>
    </row>
    <row r="41" spans="2:12" x14ac:dyDescent="0.2">
      <c r="L41" s="2"/>
    </row>
  </sheetData>
  <mergeCells count="14">
    <mergeCell ref="J3:J5"/>
    <mergeCell ref="K3:K5"/>
    <mergeCell ref="L3:L5"/>
    <mergeCell ref="M3:M5"/>
    <mergeCell ref="A1:M1"/>
    <mergeCell ref="A3:A5"/>
    <mergeCell ref="B3:B5"/>
    <mergeCell ref="C3:C5"/>
    <mergeCell ref="D3:D5"/>
    <mergeCell ref="E3:E5"/>
    <mergeCell ref="F3:F5"/>
    <mergeCell ref="G3:G5"/>
    <mergeCell ref="H3:H5"/>
    <mergeCell ref="I3:I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23C25-BBA5-4211-9FED-8C5F058EE1D6}">
  <dimension ref="A1:AD15"/>
  <sheetViews>
    <sheetView zoomScaleNormal="100" workbookViewId="0">
      <selection sqref="A1:M1"/>
    </sheetView>
  </sheetViews>
  <sheetFormatPr defaultColWidth="8.85546875" defaultRowHeight="12.75" x14ac:dyDescent="0.2"/>
  <cols>
    <col min="1" max="1" width="32.5703125" customWidth="1"/>
    <col min="2" max="2" width="11" customWidth="1"/>
    <col min="3" max="12" width="7.7109375" customWidth="1"/>
    <col min="13" max="13" width="9.28515625" bestFit="1" customWidth="1"/>
    <col min="14" max="14" width="10.140625" bestFit="1" customWidth="1"/>
  </cols>
  <sheetData>
    <row r="1" spans="1:30" s="2" customFormat="1" ht="15" customHeight="1" x14ac:dyDescent="0.2">
      <c r="A1" s="170" t="s">
        <v>82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</row>
    <row r="2" spans="1:30" ht="8.1" customHeight="1" x14ac:dyDescent="0.2"/>
    <row r="3" spans="1:30" s="5" customFormat="1" ht="25.5" customHeight="1" x14ac:dyDescent="0.2">
      <c r="A3" s="171" t="s">
        <v>43</v>
      </c>
      <c r="B3" s="161" t="s">
        <v>2</v>
      </c>
      <c r="C3" s="155" t="s">
        <v>3</v>
      </c>
      <c r="D3" s="155" t="s">
        <v>44</v>
      </c>
      <c r="E3" s="155" t="s">
        <v>45</v>
      </c>
      <c r="F3" s="155" t="s">
        <v>46</v>
      </c>
      <c r="G3" s="155" t="s">
        <v>7</v>
      </c>
      <c r="H3" s="155" t="s">
        <v>47</v>
      </c>
      <c r="I3" s="155" t="s">
        <v>48</v>
      </c>
      <c r="J3" s="155" t="s">
        <v>17</v>
      </c>
      <c r="K3" s="155" t="s">
        <v>18</v>
      </c>
      <c r="L3" s="155" t="s">
        <v>19</v>
      </c>
      <c r="M3" s="155" t="s">
        <v>11</v>
      </c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/>
    </row>
    <row r="4" spans="1:30" s="5" customFormat="1" ht="35.25" customHeight="1" x14ac:dyDescent="0.2">
      <c r="A4" s="172"/>
      <c r="B4" s="162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82"/>
      <c r="O4" s="83"/>
      <c r="P4" s="83"/>
      <c r="Q4" s="83"/>
      <c r="R4" s="83"/>
      <c r="S4" s="83"/>
      <c r="T4" s="83"/>
      <c r="U4" s="83"/>
      <c r="W4" s="83"/>
      <c r="X4" s="83"/>
      <c r="Z4" s="83"/>
      <c r="AA4"/>
      <c r="AB4" s="83"/>
    </row>
    <row r="5" spans="1:30" s="5" customFormat="1" ht="48" customHeight="1" x14ac:dyDescent="0.2">
      <c r="A5" s="173"/>
      <c r="B5" s="162"/>
      <c r="C5" s="157"/>
      <c r="D5" s="156"/>
      <c r="E5" s="157"/>
      <c r="F5" s="157"/>
      <c r="G5" s="157"/>
      <c r="H5" s="157"/>
      <c r="I5" s="157"/>
      <c r="J5" s="157"/>
      <c r="K5" s="157"/>
      <c r="L5" s="157"/>
      <c r="M5" s="157"/>
      <c r="N5" s="84"/>
      <c r="O5" s="85"/>
      <c r="P5" s="85"/>
      <c r="Q5" s="85"/>
      <c r="R5" s="85"/>
      <c r="S5" s="85"/>
      <c r="T5" s="85"/>
      <c r="U5" s="85"/>
      <c r="V5"/>
      <c r="W5"/>
      <c r="X5" s="85"/>
      <c r="Z5" s="85"/>
      <c r="AA5" s="85"/>
      <c r="AB5" s="85"/>
      <c r="AC5"/>
      <c r="AD5"/>
    </row>
    <row r="6" spans="1:30" ht="24" customHeight="1" x14ac:dyDescent="0.2">
      <c r="A6" s="86" t="s">
        <v>49</v>
      </c>
      <c r="B6" s="87">
        <v>1</v>
      </c>
      <c r="C6" s="54" t="s">
        <v>25</v>
      </c>
      <c r="D6" s="88">
        <v>1</v>
      </c>
      <c r="E6" s="54" t="s">
        <v>25</v>
      </c>
      <c r="F6" s="54">
        <v>80</v>
      </c>
      <c r="G6" s="54" t="s">
        <v>25</v>
      </c>
      <c r="H6" s="54">
        <v>2</v>
      </c>
      <c r="I6" s="54">
        <v>1812</v>
      </c>
      <c r="J6" s="54">
        <v>174</v>
      </c>
      <c r="K6" s="54">
        <v>8</v>
      </c>
      <c r="L6" s="54">
        <v>1</v>
      </c>
      <c r="M6" s="51">
        <v>2079</v>
      </c>
      <c r="N6" s="89"/>
      <c r="O6" s="90"/>
      <c r="P6" s="85"/>
      <c r="Q6" s="85"/>
      <c r="R6" s="85"/>
      <c r="S6" s="85"/>
      <c r="T6" s="85"/>
      <c r="U6" s="85"/>
      <c r="X6" s="85"/>
      <c r="Z6" s="85"/>
      <c r="AB6" s="85"/>
    </row>
    <row r="7" spans="1:30" ht="24" customHeight="1" x14ac:dyDescent="0.2">
      <c r="A7" s="91" t="s">
        <v>50</v>
      </c>
      <c r="B7" s="54" t="s">
        <v>25</v>
      </c>
      <c r="C7" s="54" t="s">
        <v>25</v>
      </c>
      <c r="D7" s="54" t="s">
        <v>25</v>
      </c>
      <c r="E7" s="54" t="s">
        <v>25</v>
      </c>
      <c r="F7" s="54">
        <v>32</v>
      </c>
      <c r="G7" s="54" t="s">
        <v>25</v>
      </c>
      <c r="H7" s="54" t="s">
        <v>25</v>
      </c>
      <c r="I7" s="54">
        <v>87</v>
      </c>
      <c r="J7" s="54">
        <v>16</v>
      </c>
      <c r="K7" s="54" t="s">
        <v>25</v>
      </c>
      <c r="L7" s="54">
        <v>4</v>
      </c>
      <c r="M7" s="51">
        <v>139</v>
      </c>
      <c r="N7" s="89"/>
      <c r="O7" s="90"/>
      <c r="P7" s="85"/>
      <c r="Q7" s="85"/>
      <c r="R7" s="85"/>
      <c r="S7" s="85"/>
      <c r="T7" s="85"/>
      <c r="U7" s="85"/>
      <c r="X7" s="85"/>
      <c r="Z7" s="85"/>
      <c r="AB7" s="85"/>
    </row>
    <row r="8" spans="1:30" ht="24" customHeight="1" x14ac:dyDescent="0.2">
      <c r="A8" s="92" t="s">
        <v>51</v>
      </c>
      <c r="B8" s="54">
        <v>47</v>
      </c>
      <c r="C8" s="54">
        <v>7</v>
      </c>
      <c r="D8" s="54">
        <v>12</v>
      </c>
      <c r="E8" s="54" t="s">
        <v>25</v>
      </c>
      <c r="F8" s="54">
        <v>541</v>
      </c>
      <c r="G8" s="54">
        <v>3</v>
      </c>
      <c r="H8" s="54">
        <v>33</v>
      </c>
      <c r="I8" s="54">
        <v>2089</v>
      </c>
      <c r="J8" s="54">
        <v>327</v>
      </c>
      <c r="K8" s="54">
        <v>75</v>
      </c>
      <c r="L8" s="54">
        <v>17</v>
      </c>
      <c r="M8" s="51">
        <v>3151</v>
      </c>
      <c r="N8" s="89"/>
      <c r="O8" s="90"/>
    </row>
    <row r="9" spans="1:30" ht="24" customHeight="1" x14ac:dyDescent="0.2">
      <c r="A9" s="93" t="s">
        <v>52</v>
      </c>
      <c r="B9" s="54" t="s">
        <v>25</v>
      </c>
      <c r="C9" s="54">
        <v>11</v>
      </c>
      <c r="D9" s="54">
        <v>10</v>
      </c>
      <c r="E9" s="54">
        <v>25</v>
      </c>
      <c r="F9" s="54">
        <v>222</v>
      </c>
      <c r="G9" s="54">
        <v>2</v>
      </c>
      <c r="H9" s="54">
        <v>6</v>
      </c>
      <c r="I9" s="54">
        <v>1802</v>
      </c>
      <c r="J9" s="54">
        <v>178</v>
      </c>
      <c r="K9" s="54">
        <v>8</v>
      </c>
      <c r="L9" s="54">
        <v>4</v>
      </c>
      <c r="M9" s="51">
        <v>2268</v>
      </c>
      <c r="N9" s="89"/>
      <c r="O9" s="90"/>
    </row>
    <row r="10" spans="1:30" ht="24" customHeight="1" x14ac:dyDescent="0.2">
      <c r="A10" s="93" t="s">
        <v>53</v>
      </c>
      <c r="B10" s="54" t="s">
        <v>25</v>
      </c>
      <c r="C10" s="54" t="s">
        <v>25</v>
      </c>
      <c r="D10" s="54" t="s">
        <v>25</v>
      </c>
      <c r="E10" s="54" t="s">
        <v>25</v>
      </c>
      <c r="F10" s="54">
        <v>10</v>
      </c>
      <c r="G10" s="54">
        <v>2</v>
      </c>
      <c r="H10" s="54" t="s">
        <v>25</v>
      </c>
      <c r="I10" s="54">
        <v>43</v>
      </c>
      <c r="J10" s="54">
        <v>8</v>
      </c>
      <c r="K10" s="54">
        <v>1</v>
      </c>
      <c r="L10" s="54" t="s">
        <v>25</v>
      </c>
      <c r="M10" s="51">
        <v>64</v>
      </c>
      <c r="N10" s="89"/>
      <c r="O10" s="90"/>
    </row>
    <row r="11" spans="1:30" ht="24" customHeight="1" x14ac:dyDescent="0.2">
      <c r="A11" s="94" t="s">
        <v>54</v>
      </c>
      <c r="B11" s="95">
        <v>48</v>
      </c>
      <c r="C11" s="96">
        <v>18</v>
      </c>
      <c r="D11" s="96">
        <v>23</v>
      </c>
      <c r="E11" s="96">
        <v>25</v>
      </c>
      <c r="F11" s="96">
        <v>885</v>
      </c>
      <c r="G11" s="96">
        <v>7</v>
      </c>
      <c r="H11" s="96">
        <v>41</v>
      </c>
      <c r="I11" s="96">
        <v>5833</v>
      </c>
      <c r="J11" s="96">
        <v>703</v>
      </c>
      <c r="K11" s="96">
        <v>92</v>
      </c>
      <c r="L11" s="96">
        <v>26</v>
      </c>
      <c r="M11" s="96">
        <v>7701</v>
      </c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</row>
    <row r="12" spans="1:30" ht="3" customHeight="1" x14ac:dyDescent="0.2">
      <c r="A12" s="97"/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N12" s="89"/>
    </row>
    <row r="13" spans="1:30" ht="12" customHeight="1" x14ac:dyDescent="0.2">
      <c r="A13" s="67" t="s">
        <v>55</v>
      </c>
    </row>
    <row r="14" spans="1:30" ht="12" customHeight="1" x14ac:dyDescent="0.2">
      <c r="A14" s="99" t="s">
        <v>56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</row>
    <row r="15" spans="1:30" x14ac:dyDescent="0.2">
      <c r="A15" s="101"/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</row>
  </sheetData>
  <mergeCells count="14">
    <mergeCell ref="J3:J5"/>
    <mergeCell ref="K3:K5"/>
    <mergeCell ref="L3:L5"/>
    <mergeCell ref="M3:M5"/>
    <mergeCell ref="A1:M1"/>
    <mergeCell ref="A3:A5"/>
    <mergeCell ref="B3:B5"/>
    <mergeCell ref="C3:C5"/>
    <mergeCell ref="D3:D5"/>
    <mergeCell ref="E3:E5"/>
    <mergeCell ref="F3:F5"/>
    <mergeCell ref="G3:G5"/>
    <mergeCell ref="H3:H5"/>
    <mergeCell ref="I3:I5"/>
  </mergeCells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25899-B19F-4CD9-8FA8-2F716ECEB451}">
  <dimension ref="A1:AE17"/>
  <sheetViews>
    <sheetView zoomScaleNormal="100" workbookViewId="0">
      <selection activeCell="B3" sqref="B3:K5"/>
    </sheetView>
  </sheetViews>
  <sheetFormatPr defaultColWidth="8.85546875" defaultRowHeight="12.75" x14ac:dyDescent="0.2"/>
  <cols>
    <col min="1" max="1" width="31.7109375" customWidth="1"/>
    <col min="2" max="2" width="11" customWidth="1"/>
    <col min="3" max="10" width="7.7109375" customWidth="1"/>
    <col min="11" max="11" width="9.28515625" bestFit="1" customWidth="1"/>
    <col min="12" max="12" width="10.140625" bestFit="1" customWidth="1"/>
  </cols>
  <sheetData>
    <row r="1" spans="1:31" s="2" customFormat="1" ht="15" customHeight="1" x14ac:dyDescent="0.2">
      <c r="A1" s="170" t="s">
        <v>83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/>
      <c r="M1" s="5"/>
      <c r="N1"/>
      <c r="O1" s="5"/>
      <c r="P1" s="5"/>
      <c r="Q1" s="5"/>
      <c r="R1" s="5"/>
      <c r="S1" s="5"/>
      <c r="T1" s="5"/>
      <c r="U1" s="5"/>
      <c r="V1" s="5"/>
      <c r="W1" s="5"/>
      <c r="X1" s="5"/>
      <c r="Y1"/>
      <c r="Z1"/>
      <c r="AA1"/>
    </row>
    <row r="2" spans="1:31" ht="8.1" customHeight="1" x14ac:dyDescent="0.2">
      <c r="K2" s="5"/>
      <c r="L2" s="5"/>
      <c r="T2" s="5"/>
      <c r="Y2" s="5"/>
      <c r="Z2" s="5"/>
      <c r="AA2" s="5"/>
    </row>
    <row r="3" spans="1:31" s="5" customFormat="1" ht="25.5" customHeight="1" x14ac:dyDescent="0.2">
      <c r="A3" s="171" t="s">
        <v>43</v>
      </c>
      <c r="B3" s="152" t="s">
        <v>2</v>
      </c>
      <c r="C3" s="149" t="s">
        <v>3</v>
      </c>
      <c r="D3" s="149" t="s">
        <v>44</v>
      </c>
      <c r="E3" s="149" t="s">
        <v>57</v>
      </c>
      <c r="F3" s="149" t="s">
        <v>47</v>
      </c>
      <c r="G3" s="149" t="s">
        <v>48</v>
      </c>
      <c r="H3" s="149" t="s">
        <v>17</v>
      </c>
      <c r="I3" s="149" t="s">
        <v>18</v>
      </c>
      <c r="J3" s="149" t="s">
        <v>19</v>
      </c>
      <c r="K3" s="149" t="s">
        <v>11</v>
      </c>
      <c r="M3"/>
      <c r="N3"/>
      <c r="O3"/>
      <c r="P3"/>
      <c r="Q3"/>
      <c r="R3"/>
      <c r="S3"/>
      <c r="U3"/>
      <c r="V3"/>
      <c r="W3"/>
      <c r="X3"/>
    </row>
    <row r="4" spans="1:31" s="5" customFormat="1" ht="35.25" customHeight="1" x14ac:dyDescent="0.2">
      <c r="A4" s="172"/>
      <c r="B4" s="174"/>
      <c r="C4" s="150"/>
      <c r="D4" s="150"/>
      <c r="E4" s="150"/>
      <c r="F4" s="150"/>
      <c r="G4" s="150"/>
      <c r="H4" s="150"/>
      <c r="I4" s="150"/>
      <c r="J4" s="150"/>
      <c r="K4" s="150"/>
      <c r="L4"/>
      <c r="M4"/>
      <c r="N4"/>
      <c r="O4"/>
      <c r="P4"/>
      <c r="Q4"/>
      <c r="R4"/>
      <c r="U4"/>
      <c r="V4"/>
      <c r="X4"/>
      <c r="Y4"/>
      <c r="Z4"/>
      <c r="AA4"/>
      <c r="AB4"/>
      <c r="AC4"/>
    </row>
    <row r="5" spans="1:31" s="5" customFormat="1" ht="46.5" customHeight="1" x14ac:dyDescent="0.2">
      <c r="A5" s="173"/>
      <c r="B5" s="153"/>
      <c r="C5" s="151"/>
      <c r="D5" s="151"/>
      <c r="E5" s="151"/>
      <c r="F5" s="151"/>
      <c r="G5" s="151"/>
      <c r="H5" s="151"/>
      <c r="I5" s="151"/>
      <c r="J5" s="151"/>
      <c r="K5" s="150"/>
      <c r="L5"/>
      <c r="M5"/>
      <c r="N5"/>
      <c r="O5"/>
      <c r="P5"/>
      <c r="Q5"/>
      <c r="R5"/>
      <c r="U5"/>
      <c r="V5"/>
      <c r="X5"/>
      <c r="Y5"/>
      <c r="Z5"/>
      <c r="AA5"/>
      <c r="AB5"/>
      <c r="AC5"/>
      <c r="AD5"/>
      <c r="AE5"/>
    </row>
    <row r="6" spans="1:31" ht="24" customHeight="1" x14ac:dyDescent="0.2">
      <c r="A6" s="86" t="s">
        <v>49</v>
      </c>
      <c r="B6" s="54">
        <v>1</v>
      </c>
      <c r="C6" s="54" t="s">
        <v>25</v>
      </c>
      <c r="D6" s="54" t="s">
        <v>25</v>
      </c>
      <c r="E6" s="54">
        <v>64</v>
      </c>
      <c r="F6" s="54">
        <v>2</v>
      </c>
      <c r="G6" s="54">
        <v>1795</v>
      </c>
      <c r="H6" s="54">
        <v>192</v>
      </c>
      <c r="I6" s="54">
        <v>2</v>
      </c>
      <c r="J6" s="54" t="s">
        <v>25</v>
      </c>
      <c r="K6" s="102">
        <v>2056</v>
      </c>
      <c r="L6" s="89"/>
      <c r="M6" s="103"/>
    </row>
    <row r="7" spans="1:31" ht="24" customHeight="1" x14ac:dyDescent="0.2">
      <c r="A7" s="91" t="s">
        <v>58</v>
      </c>
      <c r="B7" s="54" t="s">
        <v>25</v>
      </c>
      <c r="C7" s="54" t="s">
        <v>25</v>
      </c>
      <c r="D7" s="54" t="s">
        <v>25</v>
      </c>
      <c r="E7" s="54">
        <v>4</v>
      </c>
      <c r="F7" s="54" t="s">
        <v>25</v>
      </c>
      <c r="G7" s="54">
        <v>9</v>
      </c>
      <c r="H7" s="54" t="s">
        <v>25</v>
      </c>
      <c r="I7" s="54">
        <v>2</v>
      </c>
      <c r="J7" s="54" t="s">
        <v>25</v>
      </c>
      <c r="K7" s="51">
        <v>15</v>
      </c>
      <c r="L7" s="89"/>
      <c r="M7" s="103"/>
    </row>
    <row r="8" spans="1:31" ht="24" customHeight="1" x14ac:dyDescent="0.2">
      <c r="A8" s="92" t="s">
        <v>51</v>
      </c>
      <c r="B8" s="54">
        <v>29</v>
      </c>
      <c r="C8" s="54">
        <v>4</v>
      </c>
      <c r="D8" s="54">
        <v>14</v>
      </c>
      <c r="E8" s="54">
        <v>251</v>
      </c>
      <c r="F8" s="54">
        <v>15</v>
      </c>
      <c r="G8" s="54">
        <v>1869</v>
      </c>
      <c r="H8" s="54">
        <v>238</v>
      </c>
      <c r="I8" s="54">
        <v>36</v>
      </c>
      <c r="J8" s="54">
        <v>8</v>
      </c>
      <c r="K8" s="51">
        <v>2464</v>
      </c>
      <c r="L8" s="89"/>
      <c r="M8" s="103"/>
    </row>
    <row r="9" spans="1:31" ht="24" customHeight="1" x14ac:dyDescent="0.2">
      <c r="A9" s="92" t="s">
        <v>59</v>
      </c>
      <c r="B9" s="54" t="s">
        <v>25</v>
      </c>
      <c r="C9" s="54" t="s">
        <v>25</v>
      </c>
      <c r="D9" s="54" t="s">
        <v>25</v>
      </c>
      <c r="E9" s="54">
        <v>2</v>
      </c>
      <c r="F9" s="54" t="s">
        <v>25</v>
      </c>
      <c r="G9" s="54">
        <v>1</v>
      </c>
      <c r="H9" s="54" t="s">
        <v>25</v>
      </c>
      <c r="I9" s="54" t="s">
        <v>25</v>
      </c>
      <c r="J9" s="54" t="s">
        <v>25</v>
      </c>
      <c r="K9" s="51">
        <v>3</v>
      </c>
      <c r="L9" s="89"/>
      <c r="M9" s="103"/>
    </row>
    <row r="10" spans="1:31" ht="24" customHeight="1" x14ac:dyDescent="0.2">
      <c r="A10" s="93" t="s">
        <v>60</v>
      </c>
      <c r="B10" s="54" t="s">
        <v>25</v>
      </c>
      <c r="C10" s="54" t="s">
        <v>25</v>
      </c>
      <c r="D10" s="54" t="s">
        <v>25</v>
      </c>
      <c r="E10" s="54">
        <v>9</v>
      </c>
      <c r="F10" s="54" t="s">
        <v>25</v>
      </c>
      <c r="G10" s="54">
        <v>21</v>
      </c>
      <c r="H10" s="54" t="s">
        <v>25</v>
      </c>
      <c r="I10" s="54" t="s">
        <v>25</v>
      </c>
      <c r="J10" s="54" t="s">
        <v>25</v>
      </c>
      <c r="K10" s="51">
        <v>30</v>
      </c>
      <c r="L10" s="89"/>
      <c r="M10" s="103"/>
    </row>
    <row r="11" spans="1:31" ht="24" customHeight="1" x14ac:dyDescent="0.2">
      <c r="A11" s="104" t="s">
        <v>54</v>
      </c>
      <c r="B11" s="95">
        <v>30</v>
      </c>
      <c r="C11" s="96">
        <v>4</v>
      </c>
      <c r="D11" s="96">
        <v>14</v>
      </c>
      <c r="E11" s="96">
        <v>330</v>
      </c>
      <c r="F11" s="96">
        <v>17</v>
      </c>
      <c r="G11" s="96">
        <v>3695</v>
      </c>
      <c r="H11" s="96">
        <v>430</v>
      </c>
      <c r="I11" s="96">
        <v>40</v>
      </c>
      <c r="J11" s="96">
        <v>8</v>
      </c>
      <c r="K11" s="96">
        <v>4568</v>
      </c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</row>
    <row r="12" spans="1:31" ht="3" customHeight="1" x14ac:dyDescent="0.2">
      <c r="A12" s="105"/>
      <c r="B12" s="76"/>
      <c r="C12" s="76"/>
      <c r="D12" s="76"/>
      <c r="E12" s="76"/>
      <c r="F12" s="76"/>
      <c r="G12" s="76"/>
      <c r="H12" s="76"/>
      <c r="I12" s="76"/>
      <c r="J12" s="76"/>
      <c r="L12" s="89"/>
    </row>
    <row r="13" spans="1:31" ht="12" customHeight="1" x14ac:dyDescent="0.2">
      <c r="A13" s="67" t="s">
        <v>61</v>
      </c>
      <c r="E13" s="106"/>
      <c r="L13" s="89"/>
    </row>
    <row r="14" spans="1:31" ht="12" customHeight="1" x14ac:dyDescent="0.2">
      <c r="A14" s="67" t="s">
        <v>62</v>
      </c>
    </row>
    <row r="15" spans="1:31" ht="12" customHeight="1" x14ac:dyDescent="0.2">
      <c r="A15" s="99" t="s">
        <v>56</v>
      </c>
      <c r="B15" s="99"/>
      <c r="C15" s="99"/>
      <c r="D15" s="99"/>
      <c r="E15" s="99"/>
      <c r="F15" s="99"/>
      <c r="G15" s="99"/>
      <c r="H15" s="99"/>
      <c r="I15" s="99"/>
    </row>
    <row r="16" spans="1:31" x14ac:dyDescent="0.2">
      <c r="A16" s="101"/>
      <c r="B16" s="107"/>
      <c r="C16" s="107"/>
      <c r="D16" s="107"/>
      <c r="E16" s="107"/>
      <c r="F16" s="107"/>
      <c r="G16" s="107"/>
      <c r="H16" s="107"/>
      <c r="I16" s="107"/>
      <c r="J16" s="107"/>
      <c r="K16" s="107"/>
    </row>
    <row r="17" spans="1:1" x14ac:dyDescent="0.2">
      <c r="A17" s="101"/>
    </row>
  </sheetData>
  <mergeCells count="12">
    <mergeCell ref="J3:J5"/>
    <mergeCell ref="K3:K5"/>
    <mergeCell ref="A1:K1"/>
    <mergeCell ref="A3:A5"/>
    <mergeCell ref="B3:B5"/>
    <mergeCell ref="C3:C5"/>
    <mergeCell ref="D3:D5"/>
    <mergeCell ref="E3:E5"/>
    <mergeCell ref="F3:F5"/>
    <mergeCell ref="G3:G5"/>
    <mergeCell ref="H3:H5"/>
    <mergeCell ref="I3:I5"/>
  </mergeCells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AFE10-AA8E-42BA-B200-6B5185636955}">
  <sheetPr>
    <pageSetUpPr fitToPage="1"/>
  </sheetPr>
  <dimension ref="A1:N22"/>
  <sheetViews>
    <sheetView zoomScaleNormal="100" workbookViewId="0">
      <selection activeCell="L3" sqref="L3"/>
    </sheetView>
  </sheetViews>
  <sheetFormatPr defaultColWidth="8.85546875" defaultRowHeight="12.75" x14ac:dyDescent="0.2"/>
  <cols>
    <col min="1" max="1" width="26.85546875" style="108" customWidth="1"/>
    <col min="2" max="4" width="12.28515625" style="109" customWidth="1"/>
    <col min="5" max="5" width="15.42578125" style="109" customWidth="1"/>
    <col min="6" max="6" width="14.7109375" style="109" bestFit="1" customWidth="1"/>
    <col min="7" max="7" width="11.7109375" style="109" customWidth="1"/>
    <col min="8" max="9" width="12.7109375" style="109" customWidth="1"/>
    <col min="10" max="10" width="12.85546875" style="108" customWidth="1"/>
    <col min="11" max="11" width="15.7109375" style="108" bestFit="1" customWidth="1"/>
    <col min="12" max="12" width="14.7109375" style="108" bestFit="1" customWidth="1"/>
    <col min="13" max="16384" width="8.85546875" style="108"/>
  </cols>
  <sheetData>
    <row r="1" spans="1:14" x14ac:dyDescent="0.2">
      <c r="A1" s="133" t="s">
        <v>84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</row>
    <row r="2" spans="1:14" ht="8.1" customHeight="1" x14ac:dyDescent="0.2">
      <c r="A2" s="108" t="s">
        <v>63</v>
      </c>
    </row>
    <row r="3" spans="1:14" s="113" customFormat="1" ht="33" customHeight="1" x14ac:dyDescent="0.2">
      <c r="A3" s="110" t="s">
        <v>64</v>
      </c>
      <c r="B3" s="111" t="s">
        <v>65</v>
      </c>
      <c r="C3" s="111" t="s">
        <v>66</v>
      </c>
      <c r="D3" s="111" t="s">
        <v>67</v>
      </c>
      <c r="E3" s="112" t="s">
        <v>68</v>
      </c>
      <c r="F3" s="112" t="s">
        <v>69</v>
      </c>
      <c r="G3" s="112" t="s">
        <v>70</v>
      </c>
      <c r="H3" s="112" t="s">
        <v>71</v>
      </c>
      <c r="I3" s="112" t="s">
        <v>72</v>
      </c>
      <c r="J3" s="112" t="s">
        <v>73</v>
      </c>
      <c r="K3" s="112" t="s">
        <v>74</v>
      </c>
      <c r="L3" s="132" t="s">
        <v>54</v>
      </c>
    </row>
    <row r="4" spans="1:14" ht="21" customHeight="1" x14ac:dyDescent="0.2">
      <c r="A4" s="114" t="s">
        <v>75</v>
      </c>
      <c r="B4" s="115">
        <v>261</v>
      </c>
      <c r="C4" s="115">
        <v>2870</v>
      </c>
      <c r="D4" s="54">
        <v>1</v>
      </c>
      <c r="E4" s="54" t="s">
        <v>25</v>
      </c>
      <c r="F4" s="54" t="s">
        <v>25</v>
      </c>
      <c r="G4" s="54" t="s">
        <v>25</v>
      </c>
      <c r="H4" s="54" t="s">
        <v>25</v>
      </c>
      <c r="I4" s="54" t="s">
        <v>25</v>
      </c>
      <c r="J4" s="54" t="s">
        <v>25</v>
      </c>
      <c r="K4" s="54" t="s">
        <v>25</v>
      </c>
      <c r="L4" s="116">
        <v>3132</v>
      </c>
      <c r="M4" s="117"/>
      <c r="N4" s="118"/>
    </row>
    <row r="5" spans="1:14" ht="21" customHeight="1" x14ac:dyDescent="0.2">
      <c r="A5" s="114" t="s">
        <v>76</v>
      </c>
      <c r="B5" s="54">
        <v>2</v>
      </c>
      <c r="C5" s="115">
        <v>388</v>
      </c>
      <c r="D5" s="54">
        <v>5</v>
      </c>
      <c r="E5" s="54" t="s">
        <v>25</v>
      </c>
      <c r="F5" s="54" t="s">
        <v>25</v>
      </c>
      <c r="G5" s="54" t="s">
        <v>25</v>
      </c>
      <c r="H5" s="54" t="s">
        <v>25</v>
      </c>
      <c r="I5" s="115">
        <v>22</v>
      </c>
      <c r="J5" s="54" t="s">
        <v>25</v>
      </c>
      <c r="K5" s="54" t="s">
        <v>25</v>
      </c>
      <c r="L5" s="116">
        <v>417</v>
      </c>
      <c r="M5" s="117"/>
      <c r="N5" s="118"/>
    </row>
    <row r="6" spans="1:14" ht="21" customHeight="1" x14ac:dyDescent="0.2">
      <c r="A6" s="114" t="s">
        <v>4</v>
      </c>
      <c r="B6" s="115">
        <v>19</v>
      </c>
      <c r="C6" s="115">
        <v>1656</v>
      </c>
      <c r="D6" s="115">
        <v>7</v>
      </c>
      <c r="E6" s="54" t="s">
        <v>25</v>
      </c>
      <c r="F6" s="54" t="s">
        <v>25</v>
      </c>
      <c r="G6" s="54" t="s">
        <v>25</v>
      </c>
      <c r="H6" s="54" t="s">
        <v>25</v>
      </c>
      <c r="I6" s="54">
        <v>64</v>
      </c>
      <c r="J6" s="54" t="s">
        <v>25</v>
      </c>
      <c r="K6" s="54" t="s">
        <v>25</v>
      </c>
      <c r="L6" s="116">
        <v>1746</v>
      </c>
      <c r="M6" s="117"/>
      <c r="N6" s="118"/>
    </row>
    <row r="7" spans="1:14" ht="21" customHeight="1" x14ac:dyDescent="0.2">
      <c r="A7" s="114" t="s">
        <v>45</v>
      </c>
      <c r="B7" s="54" t="s">
        <v>25</v>
      </c>
      <c r="C7" s="115">
        <v>479</v>
      </c>
      <c r="D7" s="115">
        <v>42</v>
      </c>
      <c r="E7" s="54" t="s">
        <v>25</v>
      </c>
      <c r="F7" s="54" t="s">
        <v>25</v>
      </c>
      <c r="G7" s="54" t="s">
        <v>25</v>
      </c>
      <c r="H7" s="54" t="s">
        <v>25</v>
      </c>
      <c r="I7" s="54" t="s">
        <v>25</v>
      </c>
      <c r="J7" s="54" t="s">
        <v>25</v>
      </c>
      <c r="K7" s="54" t="s">
        <v>25</v>
      </c>
      <c r="L7" s="116">
        <v>521</v>
      </c>
      <c r="M7" s="117"/>
      <c r="N7" s="118"/>
    </row>
    <row r="8" spans="1:14" ht="21" customHeight="1" x14ac:dyDescent="0.2">
      <c r="A8" s="114" t="s">
        <v>77</v>
      </c>
      <c r="B8" s="115">
        <v>45950</v>
      </c>
      <c r="C8" s="115">
        <v>16</v>
      </c>
      <c r="D8" s="115">
        <v>5243</v>
      </c>
      <c r="E8" s="54" t="s">
        <v>25</v>
      </c>
      <c r="F8" s="54" t="s">
        <v>25</v>
      </c>
      <c r="G8" s="54" t="s">
        <v>25</v>
      </c>
      <c r="H8" s="54">
        <v>1</v>
      </c>
      <c r="I8" s="54" t="s">
        <v>25</v>
      </c>
      <c r="J8" s="54" t="s">
        <v>25</v>
      </c>
      <c r="K8" s="54" t="s">
        <v>25</v>
      </c>
      <c r="L8" s="116">
        <v>51210</v>
      </c>
      <c r="M8" s="119"/>
      <c r="N8" s="118"/>
    </row>
    <row r="9" spans="1:14" ht="21" customHeight="1" x14ac:dyDescent="0.2">
      <c r="A9" s="114" t="s">
        <v>7</v>
      </c>
      <c r="B9" s="54" t="s">
        <v>25</v>
      </c>
      <c r="C9" s="54" t="s">
        <v>25</v>
      </c>
      <c r="D9" s="115">
        <v>1186</v>
      </c>
      <c r="E9" s="54" t="s">
        <v>25</v>
      </c>
      <c r="F9" s="54" t="s">
        <v>25</v>
      </c>
      <c r="G9" s="54" t="s">
        <v>25</v>
      </c>
      <c r="H9" s="54" t="s">
        <v>25</v>
      </c>
      <c r="I9" s="54" t="s">
        <v>25</v>
      </c>
      <c r="J9" s="54" t="s">
        <v>25</v>
      </c>
      <c r="K9" s="54" t="s">
        <v>25</v>
      </c>
      <c r="L9" s="116">
        <v>1186</v>
      </c>
      <c r="M9" s="117"/>
      <c r="N9" s="118"/>
    </row>
    <row r="10" spans="1:14" ht="21" customHeight="1" x14ac:dyDescent="0.2">
      <c r="A10" s="114" t="s">
        <v>8</v>
      </c>
      <c r="B10" s="115">
        <v>1054</v>
      </c>
      <c r="C10" s="54" t="s">
        <v>25</v>
      </c>
      <c r="D10" s="115">
        <v>323</v>
      </c>
      <c r="E10" s="54" t="s">
        <v>25</v>
      </c>
      <c r="F10" s="54" t="s">
        <v>25</v>
      </c>
      <c r="G10" s="54" t="s">
        <v>25</v>
      </c>
      <c r="H10" s="54" t="s">
        <v>25</v>
      </c>
      <c r="I10" s="54" t="s">
        <v>25</v>
      </c>
      <c r="J10" s="54" t="s">
        <v>25</v>
      </c>
      <c r="K10" s="54" t="s">
        <v>25</v>
      </c>
      <c r="L10" s="116">
        <v>1377</v>
      </c>
      <c r="M10" s="117"/>
      <c r="N10" s="118"/>
    </row>
    <row r="11" spans="1:14" ht="21" customHeight="1" x14ac:dyDescent="0.2">
      <c r="A11" s="114" t="s">
        <v>9</v>
      </c>
      <c r="B11" s="115">
        <v>215299</v>
      </c>
      <c r="C11" s="115">
        <v>91328</v>
      </c>
      <c r="D11" s="115">
        <v>9805</v>
      </c>
      <c r="E11" s="115">
        <v>11642</v>
      </c>
      <c r="F11" s="115">
        <v>472</v>
      </c>
      <c r="G11" s="115">
        <v>4</v>
      </c>
      <c r="H11" s="115">
        <v>1898</v>
      </c>
      <c r="I11" s="115">
        <v>8</v>
      </c>
      <c r="J11" s="115">
        <v>5135</v>
      </c>
      <c r="K11" s="115">
        <v>102</v>
      </c>
      <c r="L11" s="116">
        <v>335693</v>
      </c>
      <c r="M11" s="119"/>
      <c r="N11" s="118"/>
    </row>
    <row r="12" spans="1:14" ht="21" customHeight="1" x14ac:dyDescent="0.2">
      <c r="A12" s="114" t="s">
        <v>78</v>
      </c>
      <c r="B12" s="115">
        <v>2326</v>
      </c>
      <c r="C12" s="115">
        <v>53112</v>
      </c>
      <c r="D12" s="115">
        <v>577</v>
      </c>
      <c r="E12" s="115">
        <v>4</v>
      </c>
      <c r="F12" s="115">
        <v>29</v>
      </c>
      <c r="G12" s="115">
        <v>3</v>
      </c>
      <c r="H12" s="115">
        <v>79</v>
      </c>
      <c r="I12" s="115">
        <v>25</v>
      </c>
      <c r="J12" s="115">
        <v>4</v>
      </c>
      <c r="K12" s="54">
        <v>1</v>
      </c>
      <c r="L12" s="116">
        <v>56160</v>
      </c>
      <c r="M12" s="119"/>
      <c r="N12" s="118"/>
    </row>
    <row r="13" spans="1:14" ht="21" customHeight="1" x14ac:dyDescent="0.2">
      <c r="A13" s="114" t="s">
        <v>79</v>
      </c>
      <c r="B13" s="115">
        <v>58</v>
      </c>
      <c r="C13" s="115">
        <v>4406</v>
      </c>
      <c r="D13" s="115">
        <v>151</v>
      </c>
      <c r="E13" s="54" t="s">
        <v>25</v>
      </c>
      <c r="F13" s="54" t="s">
        <v>25</v>
      </c>
      <c r="G13" s="115">
        <v>142</v>
      </c>
      <c r="H13" s="115">
        <v>19</v>
      </c>
      <c r="I13" s="115">
        <v>6</v>
      </c>
      <c r="J13" s="54" t="s">
        <v>25</v>
      </c>
      <c r="K13" s="54" t="s">
        <v>25</v>
      </c>
      <c r="L13" s="116">
        <v>4782</v>
      </c>
      <c r="M13" s="117"/>
      <c r="N13" s="118"/>
    </row>
    <row r="14" spans="1:14" ht="21" customHeight="1" x14ac:dyDescent="0.2">
      <c r="A14" s="114" t="s">
        <v>80</v>
      </c>
      <c r="B14" s="115" t="s">
        <v>25</v>
      </c>
      <c r="C14" s="115">
        <v>1177</v>
      </c>
      <c r="D14" s="54" t="s">
        <v>25</v>
      </c>
      <c r="E14" s="54" t="s">
        <v>25</v>
      </c>
      <c r="F14" s="54" t="s">
        <v>25</v>
      </c>
      <c r="G14" s="54" t="s">
        <v>25</v>
      </c>
      <c r="H14" s="54" t="s">
        <v>25</v>
      </c>
      <c r="I14" s="115">
        <v>2</v>
      </c>
      <c r="J14" s="54" t="s">
        <v>25</v>
      </c>
      <c r="K14" s="54" t="s">
        <v>25</v>
      </c>
      <c r="L14" s="116">
        <v>1179</v>
      </c>
      <c r="M14" s="117"/>
      <c r="N14" s="118"/>
    </row>
    <row r="15" spans="1:14" s="113" customFormat="1" ht="22.9" customHeight="1" x14ac:dyDescent="0.2">
      <c r="A15" s="120" t="s">
        <v>54</v>
      </c>
      <c r="B15" s="121">
        <v>264969</v>
      </c>
      <c r="C15" s="121">
        <v>155432</v>
      </c>
      <c r="D15" s="121">
        <v>17340</v>
      </c>
      <c r="E15" s="121">
        <v>11646</v>
      </c>
      <c r="F15" s="121">
        <v>501</v>
      </c>
      <c r="G15" s="121">
        <v>149</v>
      </c>
      <c r="H15" s="121">
        <v>1997</v>
      </c>
      <c r="I15" s="121">
        <v>127</v>
      </c>
      <c r="J15" s="121">
        <v>5139</v>
      </c>
      <c r="K15" s="121">
        <v>103</v>
      </c>
      <c r="L15" s="121">
        <v>457403</v>
      </c>
      <c r="M15" s="117"/>
      <c r="N15" s="118"/>
    </row>
    <row r="16" spans="1:14" ht="23.1" customHeight="1" x14ac:dyDescent="0.2">
      <c r="A16" s="120" t="s">
        <v>81</v>
      </c>
      <c r="B16" s="122">
        <v>0.41573029449773186</v>
      </c>
      <c r="C16" s="123">
        <v>-0.18173995132194945</v>
      </c>
      <c r="D16" s="123">
        <v>11.827679607893717</v>
      </c>
      <c r="E16" s="123">
        <v>4.1215914170764414</v>
      </c>
      <c r="F16" s="123">
        <v>4.1580041580041582</v>
      </c>
      <c r="G16" s="123">
        <v>0.67567567567567566</v>
      </c>
      <c r="H16" s="123">
        <v>-0.29955067398901647</v>
      </c>
      <c r="I16" s="123">
        <v>0</v>
      </c>
      <c r="J16" s="123">
        <v>2.7183689786128324</v>
      </c>
      <c r="K16" s="123">
        <v>8.4210526315789469</v>
      </c>
      <c r="L16" s="123">
        <v>0.71960505397037899</v>
      </c>
    </row>
    <row r="17" spans="1:12" ht="3" customHeight="1" x14ac:dyDescent="0.2">
      <c r="A17" s="124"/>
      <c r="B17" s="125"/>
      <c r="C17" s="125"/>
      <c r="D17" s="126"/>
      <c r="E17" s="127"/>
      <c r="F17" s="127"/>
      <c r="G17" s="125"/>
      <c r="H17" s="127"/>
      <c r="I17" s="125"/>
      <c r="J17" s="125"/>
      <c r="L17"/>
    </row>
    <row r="18" spans="1:12" x14ac:dyDescent="0.2">
      <c r="B18" s="128"/>
      <c r="C18" s="128"/>
      <c r="D18" s="128"/>
      <c r="E18" s="128"/>
      <c r="F18" s="128"/>
      <c r="G18" s="128"/>
      <c r="H18" s="128"/>
      <c r="I18" s="128"/>
      <c r="J18" s="128"/>
      <c r="K18" s="128"/>
      <c r="L18" s="129"/>
    </row>
    <row r="20" spans="1:12" x14ac:dyDescent="0.2">
      <c r="B20" s="129"/>
      <c r="C20" s="129"/>
      <c r="D20" s="130"/>
      <c r="E20" s="129"/>
      <c r="F20" s="129"/>
      <c r="G20" s="129"/>
      <c r="H20" s="129"/>
      <c r="I20" s="129"/>
      <c r="J20" s="129"/>
      <c r="K20" s="129"/>
      <c r="L20" s="129"/>
    </row>
    <row r="21" spans="1:12" x14ac:dyDescent="0.2">
      <c r="B21" s="129"/>
      <c r="C21" s="129"/>
      <c r="D21" s="129"/>
      <c r="E21" s="129"/>
      <c r="F21" s="129"/>
      <c r="G21" s="129"/>
      <c r="H21" s="129"/>
      <c r="I21" s="129"/>
      <c r="J21" s="129"/>
      <c r="K21" s="129"/>
      <c r="L21" s="129"/>
    </row>
    <row r="22" spans="1:12" x14ac:dyDescent="0.2">
      <c r="B22" s="131"/>
      <c r="C22" s="131"/>
      <c r="D22" s="131"/>
      <c r="E22" s="131"/>
      <c r="F22" s="131"/>
      <c r="G22" s="131"/>
      <c r="H22" s="131"/>
      <c r="I22" s="131"/>
      <c r="J22" s="131"/>
      <c r="K22" s="131"/>
      <c r="L22" s="131"/>
    </row>
  </sheetData>
  <mergeCells count="1">
    <mergeCell ref="A1:L1"/>
  </mergeCells>
  <printOptions horizontalCentered="1"/>
  <pageMargins left="0.82677165354330717" right="0.70866141732283472" top="0.70866141732283472" bottom="0.70866141732283472" header="0.51181102362204722" footer="0.51181102362204722"/>
  <pageSetup paperSize="9" scale="76" orientation="landscape" copies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 1</vt:lpstr>
      <vt:lpstr>Table 2</vt:lpstr>
      <vt:lpstr>Table 3</vt:lpstr>
      <vt:lpstr>Table 4</vt:lpstr>
      <vt:lpstr>Table 5</vt:lpstr>
      <vt:lpstr>Table 6</vt:lpstr>
      <vt:lpstr>Table 7</vt:lpstr>
    </vt:vector>
  </TitlesOfParts>
  <Company>Government of Malta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Migliore Sharon at NSO</dc:creator>
  <cp:lastModifiedBy>Migliore Sharon at NSO</cp:lastModifiedBy>
  <dcterms:created xsi:type="dcterms:W3CDTF">2026-02-09T12:51:25Z</dcterms:created>
  <dcterms:modified xsi:type="dcterms:W3CDTF">2026-02-11T09:07:33Z</dcterms:modified>
</cp:coreProperties>
</file>